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a.lopez\AppData\Local\Microsoft\Windows\INetCache\Content.Outlook\NL02H13N\"/>
    </mc:Choice>
  </mc:AlternateContent>
  <xr:revisionPtr revIDLastSave="0" documentId="8_{526BC799-B9E3-4CD8-852F-AA7F92D703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TOS" sheetId="8" r:id="rId1"/>
    <sheet name="NO APTOS" sheetId="9" r:id="rId2"/>
    <sheet name="Hoja1" sheetId="10" r:id="rId3"/>
  </sheets>
  <definedNames>
    <definedName name="_xlnm._FilterDatabase" localSheetId="0" hidden="1">APTOS!$A$54:$N$54</definedName>
    <definedName name="_xlnm._FilterDatabase" localSheetId="1" hidden="1">'NO APTOS'!$A$39:$G$39</definedName>
    <definedName name="_xlnm.Print_Area" localSheetId="1">'NO APTOS'!$A$1:$G$11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0" l="1"/>
  <c r="F12" i="10"/>
  <c r="N69" i="8" l="1"/>
</calcChain>
</file>

<file path=xl/sharedStrings.xml><?xml version="1.0" encoding="utf-8"?>
<sst xmlns="http://schemas.openxmlformats.org/spreadsheetml/2006/main" count="395" uniqueCount="249">
  <si>
    <t>AÑOS</t>
  </si>
  <si>
    <t>MESES</t>
  </si>
  <si>
    <t>DIAS</t>
  </si>
  <si>
    <t>N°</t>
  </si>
  <si>
    <t>APELLIDOS Y NOMBRES COMPLETOS</t>
  </si>
  <si>
    <t>Tiempo de servicios</t>
  </si>
  <si>
    <t>Horas de capacitación</t>
  </si>
  <si>
    <t>FECHA DE INICIO DE CONTRATO</t>
  </si>
  <si>
    <t>(a emplearse en caso de empate en fecha de inicio de contrato)</t>
  </si>
  <si>
    <t>PROCESO DE IMPLEMENTACIÓN DE LA LEY N° 31539 (TERCERA ETAPA)</t>
  </si>
  <si>
    <t xml:space="preserve"> ENFERMERA</t>
  </si>
  <si>
    <t>SEDE CENTRAL</t>
  </si>
  <si>
    <t>LISTADO DE NO APTOS</t>
  </si>
  <si>
    <t>ANCHELIA OSCATE NILDA GUIULIANA</t>
  </si>
  <si>
    <t>MOLERO ESCOBAR FATIMA VIVIANA</t>
  </si>
  <si>
    <t>YAUYO RAMOS YOHANA ROSARIO</t>
  </si>
  <si>
    <t>CASTILLO PEREDA LUZ VIRGINIA</t>
  </si>
  <si>
    <t>MANRIQUE RAJO LIZZETH ANGELICA</t>
  </si>
  <si>
    <t>BLANCO JULIAN CANDY VALERIA</t>
  </si>
  <si>
    <t>PEREZ ZUÑIGA MELIZA</t>
  </si>
  <si>
    <t>SALAZAR FLORES DIANA CAROLINA</t>
  </si>
  <si>
    <t>MESTANZA ROJAS KATHERIN LILIANA</t>
  </si>
  <si>
    <t>OBREGON ZEGARRA FELIPA SARA</t>
  </si>
  <si>
    <t>QUISPE PALLI GLADYS LORENA</t>
  </si>
  <si>
    <t>RAMOS BRIOSO ELSA LIZETH</t>
  </si>
  <si>
    <t>BLANCAS SANCHEZ RUTH MARITZA</t>
  </si>
  <si>
    <t>ARANA MARTINEZ NINEL ANGELICA</t>
  </si>
  <si>
    <t>FERNANDEZ SALIRROSAS CYNTHIA MARLENE</t>
  </si>
  <si>
    <t>OQUENA GARCIA SANDRA JACKELINE</t>
  </si>
  <si>
    <t>ORMEÑO ALARCON ALEYDA LISSETCH</t>
  </si>
  <si>
    <t>QUESQUEN MILLONES KARLA GUILIANA</t>
  </si>
  <si>
    <t>DIAZ MORENO JENNIFER KARLA</t>
  </si>
  <si>
    <t>SOTO MAMANI LUISA</t>
  </si>
  <si>
    <t>ZANABRIA PUENTES CRUPSKAYA ODERAY</t>
  </si>
  <si>
    <t>VERA MORY YESENIA LIZBETH</t>
  </si>
  <si>
    <t>PALOMINO ACUÑA ALEXANDRA</t>
  </si>
  <si>
    <t>ROJAS CONTRERAS KAROL ESTEFANI</t>
  </si>
  <si>
    <t>PEVEZ HERNANDEZ ARLENE LISSETTE</t>
  </si>
  <si>
    <t>BONILLA ROSALES KATHERINE PILAR</t>
  </si>
  <si>
    <t>CABALLERO VITORINO YULEYCY MAYTE</t>
  </si>
  <si>
    <t>CARLOS VERDE ELIZABETH</t>
  </si>
  <si>
    <t>DURAND DURAN ROSARIO YSABEL</t>
  </si>
  <si>
    <t>TORRES PECHO YESENIA LISSETH</t>
  </si>
  <si>
    <t>DEL ARCA SALAS CLAUDIE STEFANY</t>
  </si>
  <si>
    <t>CONTRERAS SURCO MARITZA</t>
  </si>
  <si>
    <t>EPIQUIEN URBINA HENNI MARIELITH</t>
  </si>
  <si>
    <t>ESPINOZA CISNEROS YANINA</t>
  </si>
  <si>
    <t>GONZALES LLERENA VANESSA ESTHER</t>
  </si>
  <si>
    <t>PENA DELGADO GLADYS GIANINI</t>
  </si>
  <si>
    <t>CASTILLA ANGLAS YUZZELLI LOURDES</t>
  </si>
  <si>
    <t>BRAVO APONTE RUTH SANDRA</t>
  </si>
  <si>
    <t>MENACHO MAMANI VANESSA MABEL</t>
  </si>
  <si>
    <t>VALENTIN DIAZ CANDY RAQUEL</t>
  </si>
  <si>
    <t>BUJAICO HINOSTROZA ELIZABETH DIANA</t>
  </si>
  <si>
    <t>FELIPE DE LA CRUZ YUDITH NANCY</t>
  </si>
  <si>
    <t>GUERRA RIVERA ROXANA LAURA</t>
  </si>
  <si>
    <t>AREVALO LOPEZ KELLY GISELL</t>
  </si>
  <si>
    <t>BERNAL PAULET ANTONY JHOAN</t>
  </si>
  <si>
    <t>BRAZOVICH MENDOZA FIORELA</t>
  </si>
  <si>
    <t>CIEZA HUISA ELIZABETH JACKELINE</t>
  </si>
  <si>
    <t>COLQUEHUANCA USEDO YENIFER</t>
  </si>
  <si>
    <t>DIESTRA DAMIAN JOVANNA</t>
  </si>
  <si>
    <t>FELIX RUIDIAS YURASI MILAGRO</t>
  </si>
  <si>
    <t>FLORES PONCE CLAUDIA GABRIELA</t>
  </si>
  <si>
    <t>GARAY MILLA EDWIN HENRY</t>
  </si>
  <si>
    <t>GONZALES GOMEZ LILIANA MILAGROS</t>
  </si>
  <si>
    <t>GRANDA MENDIVIL DIANA JACKELINE</t>
  </si>
  <si>
    <r>
      <t xml:space="preserve"> NO CUMPLE CAPACITACION, NO ADJUNTA SERUMS CONSTANCIA HAB. VENCIDO, NO ADJUNTA RESOLUCION DE SERUMS - MPP Resol. 881 Acreditar  (no menor  de 90 horas, ultimos 5 años)
</t>
    </r>
    <r>
      <rPr>
        <sz val="10"/>
        <color rgb="FFFF0000"/>
        <rFont val="Calibri"/>
        <family val="2"/>
      </rPr>
      <t/>
    </r>
  </si>
  <si>
    <t>HIDALGO CARPIO EVA VICTORIA</t>
  </si>
  <si>
    <t>DOBLE LLENADO FORMULARIO(SEDE CENTRAL Y REBAGLIATI)</t>
  </si>
  <si>
    <t>LANDEO QUISPE PATRICIA MILAGROS</t>
  </si>
  <si>
    <t>MORENO VILCA EDGARDO</t>
  </si>
  <si>
    <t>MORY ASENCIOS KATTERIN MAGDALENA</t>
  </si>
  <si>
    <t>MUÑOZ BARRIOS ANNGIE DEL ROSARIO</t>
  </si>
  <si>
    <t>PICHIS TORRES ANITA MILAGROS</t>
  </si>
  <si>
    <r>
      <t xml:space="preserve"> NO CUMPLE CAPACITACION, NO ADJUNTA RESOLUCION DE SERUMS - MPP Resol. 881-PR-ESSALUD-2024- Acreditar  (no menor  de 90 horas, ultimos 5 años) </t>
    </r>
    <r>
      <rPr>
        <sz val="10"/>
        <color rgb="FFFF0000"/>
        <rFont val="Calibri"/>
        <family val="2"/>
      </rPr>
      <t/>
    </r>
  </si>
  <si>
    <t>QUISPE ESTOFANERO FRINEY MARGOTH</t>
  </si>
  <si>
    <t>RONCAL CUADRADO KATHERINE</t>
  </si>
  <si>
    <t>SILVA LOPEZ MARIA DEFILIA</t>
  </si>
  <si>
    <t>SOLIS HASSINGER CYNTHIA JOMARA</t>
  </si>
  <si>
    <r>
      <t xml:space="preserve">MOTIVO DE CESE SEGÚN CA: RENUNCIA, </t>
    </r>
    <r>
      <rPr>
        <sz val="10"/>
        <rFont val="Calibri"/>
        <family val="2"/>
      </rPr>
      <t>no adjunta Diploma de Colegio de Enfermeroa y Constancia de Habilitacion</t>
    </r>
  </si>
  <si>
    <r>
      <t xml:space="preserve"> </t>
    </r>
    <r>
      <rPr>
        <b/>
        <sz val="10"/>
        <rFont val="Calibri"/>
        <family val="2"/>
      </rPr>
      <t>NO CUMPLE CAPACITACION</t>
    </r>
    <r>
      <rPr>
        <sz val="10"/>
        <rFont val="Calibri"/>
        <family val="2"/>
      </rPr>
      <t xml:space="preserve"> - MPP Resol. 881-PR-ESSALUD-2024- Acreditar  (no menor  de 90 horas, ultimos 5 años)
</t>
    </r>
    <r>
      <rPr>
        <sz val="10"/>
        <color rgb="FFFF0000"/>
        <rFont val="Calibri"/>
        <family val="2"/>
      </rPr>
      <t/>
    </r>
  </si>
  <si>
    <r>
      <rPr>
        <b/>
        <sz val="10"/>
        <rFont val="Calibri"/>
        <family val="2"/>
      </rPr>
      <t>NO CUMPLE CAPACITACION</t>
    </r>
    <r>
      <rPr>
        <sz val="10"/>
        <rFont val="Calibri"/>
        <family val="2"/>
      </rPr>
      <t xml:space="preserve"> - MPP Resol. 881-PR-ESSALUD-2024- Acreditar  (no menor  de 90 horas) ultimos 5 años
</t>
    </r>
    <r>
      <rPr>
        <sz val="10"/>
        <color rgb="FFFF0000"/>
        <rFont val="Calibri"/>
        <family val="2"/>
      </rPr>
      <t/>
    </r>
  </si>
  <si>
    <r>
      <rPr>
        <b/>
        <sz val="10"/>
        <rFont val="Calibri"/>
        <family val="2"/>
      </rPr>
      <t xml:space="preserve">NO ADJUNTA SU RESOLUCION DE SERUMS </t>
    </r>
    <r>
      <rPr>
        <sz val="10"/>
        <rFont val="Calibri"/>
        <family val="2"/>
      </rPr>
      <t xml:space="preserve">- MPP  Resol. 881-PR-ESSALUD-2024  </t>
    </r>
  </si>
  <si>
    <r>
      <rPr>
        <b/>
        <sz val="11"/>
        <rFont val="Calibri"/>
        <family val="2"/>
      </rPr>
      <t>MOTIVO DE CESE SEGÚN CA:</t>
    </r>
    <r>
      <rPr>
        <sz val="11"/>
        <rFont val="Calibri"/>
        <family val="2"/>
      </rPr>
      <t xml:space="preserve"> </t>
    </r>
    <r>
      <rPr>
        <b/>
        <sz val="10"/>
        <rFont val="Calibri"/>
        <family val="2"/>
      </rPr>
      <t>RENUNCIA,</t>
    </r>
    <r>
      <rPr>
        <sz val="11"/>
        <rFont val="Calibri"/>
        <family val="2"/>
      </rPr>
      <t xml:space="preserve"> INTERRUPCION  5 MESES Y 17 DIAS,  NO CUMPLE EXPERIENCIA  </t>
    </r>
  </si>
  <si>
    <t xml:space="preserve">MOTIVO DE CESE SEGÚN CA: RENUNCIA  - </t>
  </si>
  <si>
    <r>
      <rPr>
        <b/>
        <sz val="10"/>
        <rFont val="Calibri"/>
        <family val="2"/>
      </rPr>
      <t>NO CUMPLE CAPACITACION</t>
    </r>
    <r>
      <rPr>
        <sz val="10"/>
        <rFont val="Calibri"/>
        <family val="2"/>
      </rPr>
      <t xml:space="preserve"> -  MPP Resol. 881-PR-ESSALUD-2024- Acreditar  (no menor  de 90 horas, ultimos 5 años) 
</t>
    </r>
    <r>
      <rPr>
        <sz val="10"/>
        <color rgb="FFFF0000"/>
        <rFont val="Calibri"/>
        <family val="2"/>
      </rPr>
      <t/>
    </r>
  </si>
  <si>
    <t xml:space="preserve">NO CUMPLE MINIMO DE AÑOS DE EXPERIENCIA - 11 MESES Y 6 DIAS  INTERUPCIÓN 4 MESES Y 5 DIAS </t>
  </si>
  <si>
    <r>
      <t xml:space="preserve">NO ADJUNTA SU  HABILIDAD PROFESIONAL - MPP  Resol. 881-PR-ESSALUD-2024 </t>
    </r>
    <r>
      <rPr>
        <b/>
        <sz val="10"/>
        <rFont val="Calibri"/>
        <family val="2"/>
      </rPr>
      <t xml:space="preserve"> (consulta CEP -inhabil)</t>
    </r>
  </si>
  <si>
    <t>NO CUMPLE CAPACITACION, MOTIVO DE CESE SEGÚN CA: RENUNCIA 648-671</t>
  </si>
  <si>
    <t>MEDICOS</t>
  </si>
  <si>
    <t>HOYOS PASTOR RAQUEL</t>
  </si>
  <si>
    <t>CABREJOS ARELLANO LUZ KATHERINE DEL PILA</t>
  </si>
  <si>
    <t>ALEGRIA CACERES CYNTHIA FRANCESCA</t>
  </si>
  <si>
    <t>CANALES VASQUEZ BRYAM</t>
  </si>
  <si>
    <t>ATENCIO NUÑEZ GREASE STEFANIA</t>
  </si>
  <si>
    <t>AQUISE CONDORI NELIDA</t>
  </si>
  <si>
    <t>IBARRA VERA SHIRLEY ROSALYNN</t>
  </si>
  <si>
    <t>CONTRERAS MONTOYA GERARDO</t>
  </si>
  <si>
    <t>ESCOBAR GIUSEPPI EUSEBIO JOSE</t>
  </si>
  <si>
    <t>LEONARDO GONZALES ROXANA</t>
  </si>
  <si>
    <t>HUAMAN LLANOS KEYLA ISABEL</t>
  </si>
  <si>
    <t>BERROSPI ZAVALA MARIELA</t>
  </si>
  <si>
    <t>AGUAYO ESCOBAR JORGE ENRIQUE</t>
  </si>
  <si>
    <t>BARDALES MUÑOZ WALDO</t>
  </si>
  <si>
    <t>MARTOS SANCHEZ CLAUDIA EVELYN</t>
  </si>
  <si>
    <t>ESPINOZA ÑAÑA FELIX WILMER</t>
  </si>
  <si>
    <t>GALDOS HURTADO JUAN ELIAS</t>
  </si>
  <si>
    <t>BUENDIA MENDOZA JAQUELINE LUZ</t>
  </si>
  <si>
    <t xml:space="preserve"> MEDICOS</t>
  </si>
  <si>
    <t>ACOSTA HURTADO XIOMARA ALEXANDRA</t>
  </si>
  <si>
    <t>RENUNCIO SEGÚN CA</t>
  </si>
  <si>
    <t>ALATRISTA VALDEZ FLAVIA ANDREA</t>
  </si>
  <si>
    <t>AREVALO ROMERO ZURISADAISI</t>
  </si>
  <si>
    <t>CABANILLAS TANTA LEESLEY YAMALI</t>
  </si>
  <si>
    <t>CASELLA FERNANDEZ ALFREDO EDUARDO</t>
  </si>
  <si>
    <t>OBSERVADO POR DEBIDA DILIGENCIA - ANTEC PENALES</t>
  </si>
  <si>
    <t>DIAZ RODRIGO SOFIA</t>
  </si>
  <si>
    <t>NO CUMPLE CAPACITACION</t>
  </si>
  <si>
    <t>ENOBI ZAPATA KATERINA MARLENE</t>
  </si>
  <si>
    <t xml:space="preserve">NO SUPERA EXPERIENCIA MINIMA. NO PRESENTA CERTIFICADO DE TRABAJO  DE CAS COVID, PRESENTA DECLARACION JURADA ANEXO 2, NO CONCUERDA CON INFORME DE CARRERA ADMINISTRATIVA </t>
  </si>
  <si>
    <t>ESPINOZA BULLON PEDRO</t>
  </si>
  <si>
    <t>FLORES CONDE ANDRES</t>
  </si>
  <si>
    <t>GAGO PAREDES EVELYN PRISCILA</t>
  </si>
  <si>
    <t>HUAMAN HERRERA JOSE ALBERTO</t>
  </si>
  <si>
    <t>OBSERVADO POR DEBIDA DILIGENCIA  - ANT PENALES Y JUDICIALES</t>
  </si>
  <si>
    <t>ISASI ZAMALLOA MIGUEL ANGEL</t>
  </si>
  <si>
    <t>LOAYZA LUJAN FIORELLA</t>
  </si>
  <si>
    <t>MENDOZA JARA RONALD CHRISTIAN</t>
  </si>
  <si>
    <t>CONDUCTOR DE AMBULANCIA</t>
  </si>
  <si>
    <t>ARCE CHIHUAN HUMBERTO</t>
  </si>
  <si>
    <t>CAMACHO PALOMINO RICARDO BENITO</t>
  </si>
  <si>
    <t>CERDEÑA CUEVA AJAX MARTIN</t>
  </si>
  <si>
    <t>DE LA CRUZ AVENDAÑO JEAN KEVIN BRANDON</t>
  </si>
  <si>
    <t>POZO BARRIENTOS CARLOS JESUS</t>
  </si>
  <si>
    <t>RAMIREZ LLATAS WILSON</t>
  </si>
  <si>
    <t>REAÑO HERNANDEZ CARLOS ALFREDO</t>
  </si>
  <si>
    <t>DE LA CRUZ ALUAY RICHARD JERONIMO</t>
  </si>
  <si>
    <t>OBSERVADO EN REPORTE DE DEBIDA DILIGENCIA "SUJETO A VERIFICACION EN ANTECEDENTES PENALES"</t>
  </si>
  <si>
    <t>LEON SOVERO MAXIMO FRANS</t>
  </si>
  <si>
    <t>RAMOS RAMIREZ MACEDONIO</t>
  </si>
  <si>
    <t>DESISTIMIENTO CAS, NO ACREDITA ANEXO NI CERTIFICADO DE EXPERIENCIA LABORAL</t>
  </si>
  <si>
    <t>MORALES AGUILAR DAVID FERNANDO</t>
  </si>
  <si>
    <t>NEYRA ENCARNACION KATHERINE ESTEFANIA</t>
  </si>
  <si>
    <t>PANDURO ARROYO IVAN YHERSINO</t>
  </si>
  <si>
    <t>REYES ALFARO PABLO RUBEN</t>
  </si>
  <si>
    <t>ROJAS LLACCTAS SANDRA FIORELLA</t>
  </si>
  <si>
    <t>ROMAN SANTILLAN GIANMARCO MANUEL</t>
  </si>
  <si>
    <t>SALAZAR OLAZABAL RONALD</t>
  </si>
  <si>
    <t>SIGUAYRO PEÑA MILAGROS</t>
  </si>
  <si>
    <t>SILVESTRE BAUTISTA JHOSEP JESUS</t>
  </si>
  <si>
    <t>VELAZCO ZUTA RENAN RICARDO</t>
  </si>
  <si>
    <t>VILLACORTA MESSARINA JORGE LUIS</t>
  </si>
  <si>
    <t>YACHI FERNANDEZ KATY</t>
  </si>
  <si>
    <t>ZEGARRA INCHAUSTI VANESSA DAPHNE</t>
  </si>
  <si>
    <t>QUIÑONES PALOMINO MARY CARMEN</t>
  </si>
  <si>
    <t>ZARATE GONZALEZ AMANDA</t>
  </si>
  <si>
    <t>MEZA DURAN LUCY JESSICA</t>
  </si>
  <si>
    <t>OLAZABAL CHAMBILLA DERLY YERSON</t>
  </si>
  <si>
    <t>PEÑA CADENILLAS LESLYE</t>
  </si>
  <si>
    <t>PEREZ MENDOZA VIRGINIA</t>
  </si>
  <si>
    <t>RAMIREZ LEON DEAN ANDERSON</t>
  </si>
  <si>
    <t>RAMIREZ SEGURA GIANNINA MAYTHE</t>
  </si>
  <si>
    <t>RICRA FERNANDEZ LEONARDO RAFAEL</t>
  </si>
  <si>
    <t>RIVERO MARQUEZ IVAN JOSE</t>
  </si>
  <si>
    <t>RODRIGUEZ CHAVEZ KATHERINE MARIA</t>
  </si>
  <si>
    <t>SERNAQUE HUAMAN LORENA YADIRA</t>
  </si>
  <si>
    <t>TERRONES CIENFUEGOS JHIMY EMANUEL</t>
  </si>
  <si>
    <t>VARGAS SALAZAR KARELYM MERCEDES</t>
  </si>
  <si>
    <t>VILLAVICENCIO CASTRO JERSON</t>
  </si>
  <si>
    <t>PIMINCHUMO YCHO JUAN DIEGO</t>
  </si>
  <si>
    <t>SILVA QUISPE DAVID ARTURO</t>
  </si>
  <si>
    <t>Renuncia</t>
  </si>
  <si>
    <t xml:space="preserve">No acredita capacitacion </t>
  </si>
  <si>
    <t>No acredita capacitación</t>
  </si>
  <si>
    <t xml:space="preserve">Sujeto a Verificación Antecedentes Judiciales </t>
  </si>
  <si>
    <t>VEGA BERRU SEGUNDO HORTENCIO</t>
  </si>
  <si>
    <t>VEGA RONDAN ALMIRO</t>
  </si>
  <si>
    <t>VICHARRA GRANADOS JAVIER MARTIN</t>
  </si>
  <si>
    <t>DIGITADOR ASISTENCIAL</t>
  </si>
  <si>
    <t>CORDOVA LABAJOS MARIBEL</t>
  </si>
  <si>
    <t>JORGE CORTEZ JOSE ALBERTO</t>
  </si>
  <si>
    <t>PANIORA RIVERA DIMELSSA ELIZABETH</t>
  </si>
  <si>
    <t>PAREDES GORDILLO MELISSA DAYANA</t>
  </si>
  <si>
    <t>PSICOLOGO</t>
  </si>
  <si>
    <t>CASAVERDE FLORES KATHERINE MARILU</t>
  </si>
  <si>
    <t>BLAS JARA RICARDO</t>
  </si>
  <si>
    <t>OBSERVACIÓN EN LA DEBIDA DILIGENCIA</t>
  </si>
  <si>
    <t>REVOLLAR YUPANQUI ANGIE JIMENA</t>
  </si>
  <si>
    <t>NO CUMPLE CON LAS HORAS DE CAPACITACIÓN REQUERIDAS</t>
  </si>
  <si>
    <t>QUÍMICO FARMCÉUTICO</t>
  </si>
  <si>
    <t>SARAVIA REYES HARLIN STIP</t>
  </si>
  <si>
    <t>TÉCNICO DE ENFERMERÍA II</t>
  </si>
  <si>
    <t>MUÑOZ GARCIA MARLENY YESENIA</t>
  </si>
  <si>
    <t>AYALA PEREZ LUZ</t>
  </si>
  <si>
    <t>LUNA HUAMAN TIFFANY MARLA</t>
  </si>
  <si>
    <t>CORDOVA BAZAN RUTH EVELYN</t>
  </si>
  <si>
    <t>CAVERO COSME MARISOL</t>
  </si>
  <si>
    <t>ALARCON YUCRA GOMER CHARO</t>
  </si>
  <si>
    <t>BEZADA CANTA GUISELA</t>
  </si>
  <si>
    <t>JAIMES AROTINCO VICTORIA ROSARIO</t>
  </si>
  <si>
    <t>JIMENEZ FLORES ELIDA JAIDE</t>
  </si>
  <si>
    <t>NO CUMPLE TIEMPO DE SERVICIO MÍNIMO DE 01 AÑO/ MOTIVO DE CESE: RENUNCIA</t>
  </si>
  <si>
    <t>VALQUI ROJAS ALICIA</t>
  </si>
  <si>
    <t>QUESADA ROMERO JESUS</t>
  </si>
  <si>
    <t>MONTES ALVARADO NELSON ANTONIO</t>
  </si>
  <si>
    <t>BLASCANO REBAZA FELICITA CRISTINA</t>
  </si>
  <si>
    <t>SANCHEZ BERMUDO MILAGROS</t>
  </si>
  <si>
    <t>DE ARMAS PARADA MARIA GABRIELA</t>
  </si>
  <si>
    <t>TÉCNICO NO DIPLOMADO</t>
  </si>
  <si>
    <t>TECNÓLOGO MÉDICO</t>
  </si>
  <si>
    <t>VILCA SALAZAR ROSSMERY GEOVANA</t>
  </si>
  <si>
    <t>20/05/2020
06/02/2021</t>
  </si>
  <si>
    <t>URIBE YUPANQUI ANTONIETA EMPERATRIZ</t>
  </si>
  <si>
    <t>VILA QUINTO BETSY</t>
  </si>
  <si>
    <t>ARCE PEÑALOZA MARIA ELIZABETH</t>
  </si>
  <si>
    <t>POMPA VASQUEZ NELSA YOVANI</t>
  </si>
  <si>
    <t>NO ACREDITA CAPACITACION EN PRIMEROS AUXILIOS O BIOSEGURIDAD Y RESIDUOS BIOLOGICOS O RCP BASICO</t>
  </si>
  <si>
    <t>QUISPE NUÑEZ KELLHEY VERONICA</t>
  </si>
  <si>
    <t>NO ADJUNTO CERTIFICADO CAS COVID NI ADJUNTO ANEXO 2 DDJJ. TIEMPO DE SERVICIOS INFORMADO EN ICA</t>
  </si>
  <si>
    <t>ROJAS RODRIGUEZ MAYKOL DAVID</t>
  </si>
  <si>
    <t>PRESENTA IMPEDIMIENTO - RIESGO AMARILLO - ANTEC PENALES Y JUDICIALES</t>
  </si>
  <si>
    <t>TAPIA HUAMANI DE CHARUN,ANA LUZ</t>
  </si>
  <si>
    <t>NO ALCANZO LAS 30 HORAS MINIMAS DE CAPACITACION RELACIONADA AL CARGO 8 ENTRE EL 07/08/2020 AL 07/08/2025. NO ACREDITA CURSOS EN RCP BASICO,PRIMEROS AUXILIOS O BIOSEGURIDAD DE RESIDUOS BIOLOGICOS</t>
  </si>
  <si>
    <t>MUNAYCO PEVES CLAUDIA CRISTINA</t>
  </si>
  <si>
    <t>QUIÑONEZ CASTILLO LIZBETH GUILLERMINA</t>
  </si>
  <si>
    <t>RIVERO CONDORI KATHERINE YOVANA</t>
  </si>
  <si>
    <t>RUIZ ATENCIO MANUEL</t>
  </si>
  <si>
    <t>TANCHIVA BARTRA LEIDIS CAROL</t>
  </si>
  <si>
    <t>TAYPE CORPUS YENIFER ADRIANA</t>
  </si>
  <si>
    <t>MOTIVO DE DESCALIFICACIÓN</t>
  </si>
  <si>
    <t>VINCULO VIGENTE EN INFORHUS</t>
  </si>
  <si>
    <t>MOTIVO DE CESE SEGÚN CA:  RENUNCIA</t>
  </si>
  <si>
    <t>especialidad</t>
  </si>
  <si>
    <t>USST TRABAJADOR</t>
  </si>
  <si>
    <t xml:space="preserve">TENIA 1 LOCADORA </t>
  </si>
  <si>
    <t>LISTADO DE APTOS EN PRELACIÓN_DEMANDA</t>
  </si>
  <si>
    <t xml:space="preserve"> ENFERMERA (</t>
  </si>
  <si>
    <t>ORDEN DEL TIEMPO DE SERVICIO</t>
  </si>
  <si>
    <t>ADJUDICA Y CIERRA</t>
  </si>
  <si>
    <t>CREDENCIAL=CONSTANCIA (IMPRESO)</t>
  </si>
  <si>
    <t>SINO HAY SE VA A LA ETAPA COMPLEMENTARIA</t>
  </si>
  <si>
    <t>INFORME FINAL_ACTA INSTALACION</t>
  </si>
  <si>
    <t>ARIANE</t>
  </si>
  <si>
    <t>ERWIN_RICHARD_RENZO</t>
  </si>
  <si>
    <t>SGGP</t>
  </si>
  <si>
    <t>40 ENFERMERAS</t>
  </si>
  <si>
    <t>30 VACANTES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</si>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</sst>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8"/>
      <color theme="1" tint="0.1499984740745262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0" fillId="0" borderId="1" xfId="0" applyFont="1" applyBorder="1"/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165" fontId="12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8" fillId="0" borderId="1" xfId="0" applyFont="1" applyBorder="1"/>
    <xf numFmtId="14" fontId="10" fillId="0" borderId="1" xfId="0" applyNumberFormat="1" applyFont="1" applyBorder="1"/>
    <xf numFmtId="165" fontId="12" fillId="0" borderId="1" xfId="0" applyNumberFormat="1" applyFont="1" applyBorder="1" applyAlignment="1">
      <alignment vertical="top" shrinkToFit="1"/>
    </xf>
    <xf numFmtId="14" fontId="11" fillId="0" borderId="1" xfId="0" applyNumberFormat="1" applyFont="1" applyBorder="1"/>
    <xf numFmtId="0" fontId="0" fillId="0" borderId="1" xfId="0" applyBorder="1"/>
    <xf numFmtId="0" fontId="3" fillId="2" borderId="3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4" fontId="8" fillId="0" borderId="1" xfId="0" applyNumberFormat="1" applyFont="1" applyBorder="1"/>
    <xf numFmtId="14" fontId="11" fillId="0" borderId="0" xfId="0" applyNumberFormat="1" applyFont="1" applyAlignment="1">
      <alignment horizontal="center"/>
    </xf>
    <xf numFmtId="1" fontId="12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shrinkToFit="1"/>
    </xf>
    <xf numFmtId="14" fontId="10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right"/>
    </xf>
    <xf numFmtId="14" fontId="11" fillId="0" borderId="1" xfId="0" applyNumberFormat="1" applyFont="1" applyBorder="1" applyAlignment="1">
      <alignment horizontal="right" vertical="top"/>
    </xf>
    <xf numFmtId="0" fontId="11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/>
    </xf>
    <xf numFmtId="0" fontId="13" fillId="0" borderId="1" xfId="0" applyFont="1" applyBorder="1" applyAlignment="1">
      <alignment vertical="top" wrapText="1"/>
    </xf>
    <xf numFmtId="0" fontId="18" fillId="0" borderId="1" xfId="0" applyFont="1" applyBorder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0" fontId="8" fillId="0" borderId="0" xfId="0" applyFont="1"/>
    <xf numFmtId="0" fontId="1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showGridLines="0" tabSelected="1" topLeftCell="B37" zoomScale="90" zoomScaleNormal="90" workbookViewId="0">
      <selection activeCell="B48" sqref="B48"/>
    </sheetView>
  </sheetViews>
  <sheetFormatPr baseColWidth="10" defaultColWidth="10.7109375" defaultRowHeight="15" x14ac:dyDescent="0.25"/>
  <cols>
    <col min="1" max="1" width="6.140625" customWidth="1"/>
    <col min="2" max="2" width="42.85546875" style="10" customWidth="1"/>
    <col min="3" max="3" width="16.5703125" style="9" customWidth="1"/>
    <col min="4" max="4" width="6.42578125" style="9" customWidth="1"/>
    <col min="5" max="5" width="7.5703125" style="9" customWidth="1"/>
    <col min="6" max="6" width="10.28515625" style="9" customWidth="1"/>
    <col min="7" max="7" width="26.7109375" style="9" customWidth="1"/>
    <col min="10" max="10" width="15.85546875" customWidth="1"/>
  </cols>
  <sheetData>
    <row r="1" spans="1:7" ht="36" customHeight="1" x14ac:dyDescent="0.25">
      <c r="A1" s="82" t="s">
        <v>9</v>
      </c>
      <c r="B1" s="82"/>
      <c r="C1" s="82"/>
      <c r="D1" s="82"/>
      <c r="E1" s="82"/>
      <c r="F1" s="82"/>
      <c r="G1" s="82"/>
    </row>
    <row r="2" spans="1:7" s="7" customFormat="1" ht="25.5" customHeight="1" x14ac:dyDescent="0.35">
      <c r="A2" s="81" t="s">
        <v>11</v>
      </c>
      <c r="B2" s="81"/>
      <c r="C2" s="81"/>
      <c r="D2" s="81"/>
      <c r="E2" s="81"/>
      <c r="F2" s="81"/>
      <c r="G2" s="81"/>
    </row>
    <row r="3" spans="1:7" s="7" customFormat="1" ht="15.75" customHeight="1" x14ac:dyDescent="0.3">
      <c r="A3" s="6"/>
      <c r="B3" s="37"/>
      <c r="C3" s="37"/>
      <c r="D3" s="37"/>
      <c r="E3" s="37"/>
      <c r="F3" s="37"/>
      <c r="G3" s="38"/>
    </row>
    <row r="4" spans="1:7" s="7" customFormat="1" ht="23.25" customHeight="1" x14ac:dyDescent="0.35">
      <c r="A4" s="83" t="s">
        <v>236</v>
      </c>
      <c r="B4" s="83"/>
      <c r="C4" s="83"/>
      <c r="D4" s="83"/>
      <c r="E4" s="83"/>
      <c r="F4" s="83"/>
      <c r="G4" s="83"/>
    </row>
    <row r="5" spans="1:7" s="7" customFormat="1" ht="17.25" customHeight="1" x14ac:dyDescent="0.3">
      <c r="A5" s="5"/>
      <c r="B5" s="5"/>
      <c r="C5" s="5"/>
      <c r="D5" s="5"/>
      <c r="E5" s="5"/>
      <c r="F5" s="5"/>
      <c r="G5" s="5"/>
    </row>
    <row r="6" spans="1:7" ht="24.95" customHeight="1" x14ac:dyDescent="0.25">
      <c r="A6" s="75" t="s">
        <v>237</v>
      </c>
      <c r="B6" s="75"/>
      <c r="C6" s="75"/>
      <c r="D6" s="75"/>
      <c r="E6" s="75"/>
      <c r="F6" s="75"/>
      <c r="G6" s="75"/>
    </row>
    <row r="7" spans="1:7" ht="24.95" customHeight="1" x14ac:dyDescent="0.25">
      <c r="A7" s="76" t="s">
        <v>3</v>
      </c>
      <c r="B7" s="77" t="s">
        <v>4</v>
      </c>
      <c r="C7" s="78" t="s">
        <v>7</v>
      </c>
      <c r="D7" s="80" t="s">
        <v>5</v>
      </c>
      <c r="E7" s="80"/>
      <c r="F7" s="80"/>
      <c r="G7" s="4" t="s">
        <v>6</v>
      </c>
    </row>
    <row r="8" spans="1:7" ht="48.75" customHeight="1" x14ac:dyDescent="0.25">
      <c r="A8" s="76"/>
      <c r="B8" s="77"/>
      <c r="C8" s="79"/>
      <c r="D8" s="3" t="s">
        <v>0</v>
      </c>
      <c r="E8" s="3" t="s">
        <v>1</v>
      </c>
      <c r="F8" s="3" t="s">
        <v>2</v>
      </c>
      <c r="G8" s="4" t="s">
        <v>8</v>
      </c>
    </row>
    <row r="9" spans="1:7" ht="24.95" customHeight="1" x14ac:dyDescent="0.25">
      <c r="A9" s="8">
        <v>1</v>
      </c>
      <c r="B9" s="56" t="s">
        <v>78</v>
      </c>
      <c r="C9" s="39">
        <v>43916</v>
      </c>
      <c r="D9" s="45">
        <v>2</v>
      </c>
      <c r="E9" s="45">
        <v>7</v>
      </c>
      <c r="F9" s="45">
        <v>5</v>
      </c>
      <c r="G9" s="34"/>
    </row>
    <row r="10" spans="1:7" ht="24.95" customHeight="1" x14ac:dyDescent="0.25">
      <c r="A10" s="8">
        <v>2</v>
      </c>
      <c r="B10" s="56" t="s">
        <v>13</v>
      </c>
      <c r="C10" s="41">
        <v>43917</v>
      </c>
      <c r="D10" s="45">
        <v>2</v>
      </c>
      <c r="E10" s="45">
        <v>0</v>
      </c>
      <c r="F10" s="45">
        <v>5</v>
      </c>
      <c r="G10" s="45"/>
    </row>
    <row r="11" spans="1:7" ht="24.95" customHeight="1" x14ac:dyDescent="0.25">
      <c r="A11" s="8">
        <v>3</v>
      </c>
      <c r="B11" s="56" t="s">
        <v>14</v>
      </c>
      <c r="C11" s="35">
        <v>43952</v>
      </c>
      <c r="D11" s="34">
        <v>1</v>
      </c>
      <c r="E11" s="34">
        <v>10</v>
      </c>
      <c r="F11" s="34">
        <v>30</v>
      </c>
      <c r="G11" s="34"/>
    </row>
    <row r="12" spans="1:7" ht="24.95" customHeight="1" x14ac:dyDescent="0.25">
      <c r="A12" s="8">
        <v>4</v>
      </c>
      <c r="B12" s="56" t="s">
        <v>63</v>
      </c>
      <c r="C12" s="39">
        <v>43957</v>
      </c>
      <c r="D12" s="45">
        <v>1</v>
      </c>
      <c r="E12" s="45">
        <v>9</v>
      </c>
      <c r="F12" s="45">
        <v>22</v>
      </c>
      <c r="G12" s="34"/>
    </row>
    <row r="13" spans="1:7" ht="24.95" customHeight="1" x14ac:dyDescent="0.25">
      <c r="A13" s="8">
        <v>5</v>
      </c>
      <c r="B13" s="56" t="s">
        <v>30</v>
      </c>
      <c r="C13" s="39">
        <v>43963</v>
      </c>
      <c r="D13" s="34">
        <v>1</v>
      </c>
      <c r="E13" s="34">
        <v>1</v>
      </c>
      <c r="F13" s="34">
        <v>18</v>
      </c>
      <c r="G13" s="48">
        <v>1306</v>
      </c>
    </row>
    <row r="14" spans="1:7" ht="24.95" customHeight="1" x14ac:dyDescent="0.25">
      <c r="A14" s="8">
        <v>6</v>
      </c>
      <c r="B14" s="56" t="s">
        <v>60</v>
      </c>
      <c r="C14" s="39">
        <v>43987</v>
      </c>
      <c r="D14" s="45">
        <v>1</v>
      </c>
      <c r="E14" s="45">
        <v>4</v>
      </c>
      <c r="F14" s="45">
        <v>26</v>
      </c>
      <c r="G14" s="34"/>
    </row>
    <row r="15" spans="1:7" ht="24.95" customHeight="1" x14ac:dyDescent="0.25">
      <c r="A15" s="8">
        <v>7</v>
      </c>
      <c r="B15" s="56" t="s">
        <v>16</v>
      </c>
      <c r="C15" s="39">
        <v>43997</v>
      </c>
      <c r="D15" s="45">
        <v>1</v>
      </c>
      <c r="E15" s="45">
        <v>9</v>
      </c>
      <c r="F15" s="45">
        <v>16</v>
      </c>
      <c r="G15" s="45"/>
    </row>
    <row r="16" spans="1:7" ht="24.95" customHeight="1" x14ac:dyDescent="0.25">
      <c r="A16" s="8">
        <v>8</v>
      </c>
      <c r="B16" s="56" t="s">
        <v>56</v>
      </c>
      <c r="C16" s="39">
        <v>44038</v>
      </c>
      <c r="D16" s="45">
        <v>1</v>
      </c>
      <c r="E16" s="45">
        <v>3</v>
      </c>
      <c r="F16" s="45">
        <v>27</v>
      </c>
      <c r="G16" s="34"/>
    </row>
    <row r="17" spans="1:7" ht="24.95" customHeight="1" x14ac:dyDescent="0.25">
      <c r="A17" s="8">
        <v>9</v>
      </c>
      <c r="B17" s="56" t="s">
        <v>18</v>
      </c>
      <c r="C17" s="39">
        <v>44067</v>
      </c>
      <c r="D17" s="45">
        <v>1</v>
      </c>
      <c r="E17" s="45">
        <v>7</v>
      </c>
      <c r="F17" s="45">
        <v>10</v>
      </c>
      <c r="G17" s="45"/>
    </row>
    <row r="18" spans="1:7" ht="24.95" customHeight="1" x14ac:dyDescent="0.25">
      <c r="A18" s="8">
        <v>10</v>
      </c>
      <c r="B18" s="56" t="s">
        <v>20</v>
      </c>
      <c r="C18" s="35">
        <v>44226</v>
      </c>
      <c r="D18" s="34">
        <v>1</v>
      </c>
      <c r="E18" s="34">
        <v>2</v>
      </c>
      <c r="F18" s="34">
        <v>1</v>
      </c>
      <c r="G18" s="34"/>
    </row>
    <row r="19" spans="1:7" ht="24.95" customHeight="1" x14ac:dyDescent="0.25">
      <c r="A19" s="8">
        <v>11</v>
      </c>
      <c r="B19" s="56" t="s">
        <v>21</v>
      </c>
      <c r="C19" s="35">
        <v>44228</v>
      </c>
      <c r="D19" s="34">
        <v>1</v>
      </c>
      <c r="E19" s="34">
        <v>1</v>
      </c>
      <c r="F19" s="34">
        <v>30</v>
      </c>
      <c r="G19" s="46">
        <v>536</v>
      </c>
    </row>
    <row r="20" spans="1:7" ht="24.95" customHeight="1" x14ac:dyDescent="0.25">
      <c r="A20" s="8">
        <v>12</v>
      </c>
      <c r="B20" s="56" t="s">
        <v>77</v>
      </c>
      <c r="C20" s="39">
        <v>44229</v>
      </c>
      <c r="D20" s="45">
        <v>1</v>
      </c>
      <c r="E20" s="45">
        <v>0</v>
      </c>
      <c r="F20" s="45">
        <v>27</v>
      </c>
      <c r="G20" s="34">
        <v>588</v>
      </c>
    </row>
    <row r="21" spans="1:7" ht="24.95" customHeight="1" x14ac:dyDescent="0.25">
      <c r="A21" s="8">
        <v>13</v>
      </c>
      <c r="B21" s="56" t="s">
        <v>24</v>
      </c>
      <c r="C21" s="40">
        <v>44229</v>
      </c>
      <c r="D21" s="34">
        <v>1</v>
      </c>
      <c r="E21" s="34">
        <v>1</v>
      </c>
      <c r="F21" s="34">
        <v>28</v>
      </c>
      <c r="G21" s="34"/>
    </row>
    <row r="22" spans="1:7" ht="24.95" customHeight="1" x14ac:dyDescent="0.25">
      <c r="A22" s="8">
        <v>14</v>
      </c>
      <c r="B22" s="56" t="s">
        <v>59</v>
      </c>
      <c r="C22" s="39">
        <v>44232</v>
      </c>
      <c r="D22" s="45">
        <v>1</v>
      </c>
      <c r="E22" s="45">
        <v>0</v>
      </c>
      <c r="F22" s="45">
        <v>24</v>
      </c>
      <c r="G22" s="34"/>
    </row>
    <row r="23" spans="1:7" ht="24.95" customHeight="1" x14ac:dyDescent="0.25">
      <c r="A23" s="8">
        <v>15</v>
      </c>
      <c r="B23" s="56" t="s">
        <v>25</v>
      </c>
      <c r="C23" s="39">
        <v>44233</v>
      </c>
      <c r="D23" s="45">
        <v>1</v>
      </c>
      <c r="E23" s="45">
        <v>1</v>
      </c>
      <c r="F23" s="45">
        <v>24</v>
      </c>
      <c r="G23" s="45"/>
    </row>
    <row r="24" spans="1:7" ht="24.95" customHeight="1" x14ac:dyDescent="0.25">
      <c r="A24" s="8">
        <v>16</v>
      </c>
      <c r="B24" s="56" t="s">
        <v>27</v>
      </c>
      <c r="C24" s="39">
        <v>44239</v>
      </c>
      <c r="D24" s="45">
        <v>1</v>
      </c>
      <c r="E24" s="45">
        <v>5</v>
      </c>
      <c r="F24" s="45">
        <v>20</v>
      </c>
      <c r="G24" s="47">
        <v>1708</v>
      </c>
    </row>
    <row r="25" spans="1:7" ht="24.95" customHeight="1" x14ac:dyDescent="0.25">
      <c r="A25" s="8">
        <v>17</v>
      </c>
      <c r="B25" s="56" t="s">
        <v>29</v>
      </c>
      <c r="C25" s="39">
        <v>44239</v>
      </c>
      <c r="D25" s="34">
        <v>1</v>
      </c>
      <c r="E25" s="34">
        <v>1</v>
      </c>
      <c r="F25" s="34">
        <v>18</v>
      </c>
      <c r="G25" s="48">
        <v>1045</v>
      </c>
    </row>
    <row r="26" spans="1:7" ht="24.95" customHeight="1" x14ac:dyDescent="0.25">
      <c r="A26" s="8">
        <v>18</v>
      </c>
      <c r="B26" s="56" t="s">
        <v>28</v>
      </c>
      <c r="C26" s="35">
        <v>44239</v>
      </c>
      <c r="D26" s="34">
        <v>1</v>
      </c>
      <c r="E26" s="34">
        <v>5</v>
      </c>
      <c r="F26" s="34">
        <v>20</v>
      </c>
      <c r="G26" s="48">
        <v>649</v>
      </c>
    </row>
    <row r="27" spans="1:7" ht="24.95" customHeight="1" x14ac:dyDescent="0.25">
      <c r="A27" s="8">
        <v>19</v>
      </c>
      <c r="B27" s="56" t="s">
        <v>26</v>
      </c>
      <c r="C27" s="39">
        <v>44239</v>
      </c>
      <c r="D27" s="45">
        <v>1</v>
      </c>
      <c r="E27" s="45">
        <v>5</v>
      </c>
      <c r="F27" s="45">
        <v>20</v>
      </c>
      <c r="G27" s="47">
        <v>186</v>
      </c>
    </row>
    <row r="28" spans="1:7" ht="24.95" customHeight="1" x14ac:dyDescent="0.25">
      <c r="A28" s="8">
        <v>20</v>
      </c>
      <c r="B28" s="56" t="s">
        <v>31</v>
      </c>
      <c r="C28" s="39">
        <v>44243</v>
      </c>
      <c r="D28" s="45">
        <v>1</v>
      </c>
      <c r="E28" s="45">
        <v>1</v>
      </c>
      <c r="F28" s="45">
        <v>15</v>
      </c>
      <c r="G28" s="49">
        <v>831</v>
      </c>
    </row>
    <row r="29" spans="1:7" ht="24.95" customHeight="1" x14ac:dyDescent="0.25">
      <c r="A29" s="8">
        <v>21</v>
      </c>
      <c r="B29" s="56" t="s">
        <v>33</v>
      </c>
      <c r="C29" s="35">
        <v>44243</v>
      </c>
      <c r="D29" s="34">
        <v>1</v>
      </c>
      <c r="E29" s="34">
        <v>1</v>
      </c>
      <c r="F29" s="34">
        <v>14</v>
      </c>
      <c r="G29" s="49">
        <v>744</v>
      </c>
    </row>
    <row r="30" spans="1:7" ht="24.95" customHeight="1" x14ac:dyDescent="0.25">
      <c r="A30" s="8">
        <v>22</v>
      </c>
      <c r="B30" s="56" t="s">
        <v>34</v>
      </c>
      <c r="C30" s="40">
        <v>44250</v>
      </c>
      <c r="D30" s="34">
        <v>1</v>
      </c>
      <c r="E30" s="34">
        <v>1</v>
      </c>
      <c r="F30" s="34">
        <v>8</v>
      </c>
      <c r="G30" s="34"/>
    </row>
    <row r="31" spans="1:7" ht="24.95" customHeight="1" x14ac:dyDescent="0.25">
      <c r="A31" s="8">
        <v>23</v>
      </c>
      <c r="B31" s="56" t="s">
        <v>35</v>
      </c>
      <c r="C31" s="40">
        <v>44259</v>
      </c>
      <c r="D31" s="34">
        <v>1</v>
      </c>
      <c r="E31" s="34">
        <v>0</v>
      </c>
      <c r="F31" s="34">
        <v>27</v>
      </c>
      <c r="G31" s="34"/>
    </row>
    <row r="32" spans="1:7" ht="24.95" customHeight="1" x14ac:dyDescent="0.25">
      <c r="A32" s="8">
        <v>24</v>
      </c>
      <c r="B32" s="56" t="s">
        <v>36</v>
      </c>
      <c r="C32" s="40">
        <v>44260</v>
      </c>
      <c r="D32" s="34">
        <v>1</v>
      </c>
      <c r="E32" s="34">
        <v>4</v>
      </c>
      <c r="F32" s="34">
        <v>27</v>
      </c>
      <c r="G32" s="34"/>
    </row>
    <row r="33" spans="1:7" ht="24.95" customHeight="1" x14ac:dyDescent="0.25">
      <c r="A33" s="8">
        <v>25</v>
      </c>
      <c r="B33" s="56" t="s">
        <v>38</v>
      </c>
      <c r="C33" s="39">
        <v>44266</v>
      </c>
      <c r="D33" s="45">
        <v>1</v>
      </c>
      <c r="E33" s="45">
        <v>0</v>
      </c>
      <c r="F33" s="45">
        <v>20</v>
      </c>
      <c r="G33" s="45"/>
    </row>
    <row r="34" spans="1:7" ht="24.95" customHeight="1" x14ac:dyDescent="0.25">
      <c r="A34" s="8">
        <v>26</v>
      </c>
      <c r="B34" s="56" t="s">
        <v>42</v>
      </c>
      <c r="C34" s="40">
        <v>44268</v>
      </c>
      <c r="D34" s="34">
        <v>1</v>
      </c>
      <c r="E34" s="34">
        <v>3</v>
      </c>
      <c r="F34" s="34">
        <v>18</v>
      </c>
      <c r="G34" s="48">
        <v>1012</v>
      </c>
    </row>
    <row r="35" spans="1:7" ht="24.95" customHeight="1" x14ac:dyDescent="0.25">
      <c r="A35" s="8">
        <v>27</v>
      </c>
      <c r="B35" s="56" t="s">
        <v>39</v>
      </c>
      <c r="C35" s="39">
        <v>44268</v>
      </c>
      <c r="D35" s="45">
        <v>1</v>
      </c>
      <c r="E35" s="45">
        <v>3</v>
      </c>
      <c r="F35" s="45">
        <v>17</v>
      </c>
      <c r="G35" s="47">
        <v>671</v>
      </c>
    </row>
    <row r="36" spans="1:7" ht="24.95" customHeight="1" x14ac:dyDescent="0.25">
      <c r="A36" s="8">
        <v>28</v>
      </c>
      <c r="B36" s="56" t="s">
        <v>40</v>
      </c>
      <c r="C36" s="39">
        <v>44268</v>
      </c>
      <c r="D36" s="45">
        <v>1</v>
      </c>
      <c r="E36" s="45">
        <v>0</v>
      </c>
      <c r="F36" s="45">
        <v>19</v>
      </c>
      <c r="G36" s="47">
        <v>157</v>
      </c>
    </row>
    <row r="37" spans="1:7" ht="24.95" customHeight="1" x14ac:dyDescent="0.25">
      <c r="A37" s="8">
        <v>29</v>
      </c>
      <c r="B37" s="56" t="s">
        <v>43</v>
      </c>
      <c r="C37" s="39">
        <v>44271</v>
      </c>
      <c r="D37" s="45">
        <v>1</v>
      </c>
      <c r="E37" s="45">
        <v>3</v>
      </c>
      <c r="F37" s="45">
        <v>14</v>
      </c>
      <c r="G37" s="34"/>
    </row>
    <row r="38" spans="1:7" ht="24.95" customHeight="1" x14ac:dyDescent="0.25">
      <c r="A38" s="8">
        <v>30</v>
      </c>
      <c r="B38" s="56" t="s">
        <v>45</v>
      </c>
      <c r="C38" s="39">
        <v>44273</v>
      </c>
      <c r="D38" s="45">
        <v>1</v>
      </c>
      <c r="E38" s="45">
        <v>0</v>
      </c>
      <c r="F38" s="45">
        <v>13</v>
      </c>
      <c r="G38" s="50">
        <v>1717</v>
      </c>
    </row>
    <row r="39" spans="1:7" ht="24.95" customHeight="1" x14ac:dyDescent="0.25">
      <c r="A39" s="8">
        <v>31</v>
      </c>
      <c r="B39" s="56" t="s">
        <v>46</v>
      </c>
      <c r="C39" s="39">
        <v>44273</v>
      </c>
      <c r="D39" s="45">
        <v>1</v>
      </c>
      <c r="E39" s="45">
        <v>0</v>
      </c>
      <c r="F39" s="45">
        <v>13</v>
      </c>
      <c r="G39" s="50">
        <v>754</v>
      </c>
    </row>
    <row r="40" spans="1:7" ht="24.95" customHeight="1" x14ac:dyDescent="0.25">
      <c r="A40" s="8">
        <v>32</v>
      </c>
      <c r="B40" s="56" t="s">
        <v>44</v>
      </c>
      <c r="C40" s="39">
        <v>44273</v>
      </c>
      <c r="D40" s="45">
        <v>1</v>
      </c>
      <c r="E40" s="45">
        <v>3</v>
      </c>
      <c r="F40" s="45">
        <v>12</v>
      </c>
      <c r="G40" s="49">
        <v>454</v>
      </c>
    </row>
    <row r="41" spans="1:7" ht="24.95" customHeight="1" x14ac:dyDescent="0.25">
      <c r="A41" s="8">
        <v>33</v>
      </c>
      <c r="B41" s="56" t="s">
        <v>48</v>
      </c>
      <c r="C41" s="35">
        <v>44275</v>
      </c>
      <c r="D41" s="34">
        <v>1</v>
      </c>
      <c r="E41" s="34">
        <v>1</v>
      </c>
      <c r="F41" s="34">
        <v>10</v>
      </c>
      <c r="G41" s="48">
        <v>2938</v>
      </c>
    </row>
    <row r="42" spans="1:7" ht="24.95" customHeight="1" x14ac:dyDescent="0.25">
      <c r="A42" s="8">
        <v>34</v>
      </c>
      <c r="B42" s="56" t="s">
        <v>47</v>
      </c>
      <c r="C42" s="39">
        <v>44275</v>
      </c>
      <c r="D42" s="45">
        <v>1</v>
      </c>
      <c r="E42" s="45">
        <v>0</v>
      </c>
      <c r="F42" s="45">
        <v>11</v>
      </c>
      <c r="G42" s="47">
        <v>1872</v>
      </c>
    </row>
    <row r="43" spans="1:7" ht="24.95" customHeight="1" x14ac:dyDescent="0.25">
      <c r="A43" s="8">
        <v>35</v>
      </c>
      <c r="B43" s="56" t="s">
        <v>49</v>
      </c>
      <c r="C43" s="39">
        <v>44278</v>
      </c>
      <c r="D43" s="45">
        <v>1</v>
      </c>
      <c r="E43" s="45">
        <v>0</v>
      </c>
      <c r="F43" s="45">
        <v>8</v>
      </c>
      <c r="G43" s="45"/>
    </row>
    <row r="44" spans="1:7" ht="24.95" customHeight="1" x14ac:dyDescent="0.25">
      <c r="A44" s="8">
        <v>36</v>
      </c>
      <c r="B44" s="56" t="s">
        <v>50</v>
      </c>
      <c r="C44" s="39">
        <v>44284</v>
      </c>
      <c r="D44" s="45">
        <v>1</v>
      </c>
      <c r="E44" s="45">
        <v>3</v>
      </c>
      <c r="F44" s="45">
        <v>4</v>
      </c>
      <c r="G44" s="45"/>
    </row>
    <row r="45" spans="1:7" ht="24.95" customHeight="1" x14ac:dyDescent="0.25">
      <c r="A45" s="8">
        <v>37</v>
      </c>
      <c r="B45" s="56" t="s">
        <v>51</v>
      </c>
      <c r="C45" s="35">
        <v>44301</v>
      </c>
      <c r="D45" s="34">
        <v>1</v>
      </c>
      <c r="E45" s="34">
        <v>2</v>
      </c>
      <c r="F45" s="34">
        <v>15</v>
      </c>
      <c r="G45" s="34"/>
    </row>
    <row r="46" spans="1:7" ht="24.95" customHeight="1" x14ac:dyDescent="0.25">
      <c r="A46" s="8">
        <v>38</v>
      </c>
      <c r="B46" s="56" t="s">
        <v>52</v>
      </c>
      <c r="C46" s="40">
        <v>44302</v>
      </c>
      <c r="D46" s="34">
        <v>1</v>
      </c>
      <c r="E46" s="34">
        <v>3</v>
      </c>
      <c r="F46" s="34">
        <v>16</v>
      </c>
      <c r="G46" s="34"/>
    </row>
    <row r="47" spans="1:7" ht="24.95" customHeight="1" x14ac:dyDescent="0.25">
      <c r="A47" s="8">
        <v>39</v>
      </c>
      <c r="B47" s="56" t="s">
        <v>53</v>
      </c>
      <c r="C47" s="39">
        <v>44306</v>
      </c>
      <c r="D47" s="45">
        <v>1</v>
      </c>
      <c r="E47" s="45">
        <v>0</v>
      </c>
      <c r="F47" s="45">
        <v>10</v>
      </c>
      <c r="G47" s="45"/>
    </row>
    <row r="48" spans="1:7" ht="24.95" customHeight="1" x14ac:dyDescent="0.25">
      <c r="A48" s="8">
        <v>40</v>
      </c>
      <c r="B48" s="56" t="s">
        <v>54</v>
      </c>
      <c r="C48" s="39">
        <v>44316</v>
      </c>
      <c r="D48" s="45">
        <v>1</v>
      </c>
      <c r="E48" s="45">
        <v>4</v>
      </c>
      <c r="F48" s="45">
        <v>0</v>
      </c>
      <c r="G48" s="45"/>
    </row>
    <row r="49" spans="1:7" ht="24.95" customHeight="1" x14ac:dyDescent="0.25">
      <c r="A49" s="8">
        <v>41</v>
      </c>
      <c r="B49" s="56" t="s">
        <v>55</v>
      </c>
      <c r="C49" s="39">
        <v>44323</v>
      </c>
      <c r="D49" s="45">
        <v>1</v>
      </c>
      <c r="E49" s="45">
        <v>0</v>
      </c>
      <c r="F49" s="45">
        <v>24</v>
      </c>
      <c r="G49" s="34"/>
    </row>
    <row r="51" spans="1:7" x14ac:dyDescent="0.25">
      <c r="A51" s="9"/>
      <c r="C51" s="11"/>
    </row>
    <row r="52" spans="1:7" ht="18.75" x14ac:dyDescent="0.25">
      <c r="A52" s="75" t="s">
        <v>90</v>
      </c>
      <c r="B52" s="75"/>
      <c r="C52" s="75"/>
      <c r="D52" s="75"/>
      <c r="E52" s="75"/>
      <c r="F52" s="75"/>
      <c r="G52" s="75"/>
    </row>
    <row r="53" spans="1:7" x14ac:dyDescent="0.25">
      <c r="A53" s="76" t="s">
        <v>3</v>
      </c>
      <c r="B53" s="77" t="s">
        <v>4</v>
      </c>
      <c r="C53" s="78" t="s">
        <v>7</v>
      </c>
      <c r="D53" s="80" t="s">
        <v>5</v>
      </c>
      <c r="E53" s="80"/>
      <c r="F53" s="80"/>
      <c r="G53" s="4" t="s">
        <v>6</v>
      </c>
    </row>
    <row r="54" spans="1:7" ht="45" x14ac:dyDescent="0.25">
      <c r="A54" s="76"/>
      <c r="B54" s="77"/>
      <c r="C54" s="79"/>
      <c r="D54" s="3" t="s">
        <v>0</v>
      </c>
      <c r="E54" s="3" t="s">
        <v>1</v>
      </c>
      <c r="F54" s="3" t="s">
        <v>2</v>
      </c>
      <c r="G54" s="4" t="s">
        <v>8</v>
      </c>
    </row>
    <row r="55" spans="1:7" x14ac:dyDescent="0.25">
      <c r="A55" s="8">
        <v>1</v>
      </c>
      <c r="B55" s="56" t="s">
        <v>113</v>
      </c>
      <c r="C55" s="39">
        <v>43917</v>
      </c>
      <c r="D55" s="34">
        <v>1</v>
      </c>
      <c r="E55" s="34">
        <v>11</v>
      </c>
      <c r="F55" s="34">
        <v>1</v>
      </c>
      <c r="G55" s="34">
        <v>92</v>
      </c>
    </row>
    <row r="56" spans="1:7" x14ac:dyDescent="0.25">
      <c r="A56" s="8">
        <v>2</v>
      </c>
      <c r="B56" s="56" t="s">
        <v>91</v>
      </c>
      <c r="C56" s="39">
        <v>43936</v>
      </c>
      <c r="D56" s="34">
        <v>1</v>
      </c>
      <c r="E56" s="34">
        <v>11</v>
      </c>
      <c r="F56" s="34">
        <v>16</v>
      </c>
      <c r="G56" s="34">
        <v>653</v>
      </c>
    </row>
    <row r="57" spans="1:7" x14ac:dyDescent="0.25">
      <c r="A57" s="8">
        <v>3</v>
      </c>
      <c r="B57" s="56" t="s">
        <v>92</v>
      </c>
      <c r="C57" s="39">
        <v>43936</v>
      </c>
      <c r="D57" s="34">
        <v>1</v>
      </c>
      <c r="E57" s="34">
        <v>11</v>
      </c>
      <c r="F57" s="34">
        <v>16</v>
      </c>
      <c r="G57" s="34">
        <v>470</v>
      </c>
    </row>
    <row r="58" spans="1:7" x14ac:dyDescent="0.25">
      <c r="A58" s="8">
        <v>4</v>
      </c>
      <c r="B58" s="56" t="s">
        <v>151</v>
      </c>
      <c r="C58" s="39">
        <v>43941</v>
      </c>
      <c r="D58" s="34">
        <v>1</v>
      </c>
      <c r="E58" s="34">
        <v>5</v>
      </c>
      <c r="F58" s="34">
        <v>16</v>
      </c>
      <c r="G58" s="34">
        <v>180</v>
      </c>
    </row>
    <row r="59" spans="1:7" x14ac:dyDescent="0.25">
      <c r="A59" s="8">
        <v>5</v>
      </c>
      <c r="B59" s="56" t="s">
        <v>93</v>
      </c>
      <c r="C59" s="39">
        <v>43951</v>
      </c>
      <c r="D59" s="34">
        <v>1</v>
      </c>
      <c r="E59" s="34">
        <v>11</v>
      </c>
      <c r="F59" s="34">
        <v>1</v>
      </c>
      <c r="G59" s="34">
        <v>845</v>
      </c>
    </row>
    <row r="60" spans="1:7" x14ac:dyDescent="0.25">
      <c r="A60" s="8">
        <v>6</v>
      </c>
      <c r="B60" s="56" t="s">
        <v>160</v>
      </c>
      <c r="C60" s="39">
        <v>43956</v>
      </c>
      <c r="D60" s="34">
        <v>1</v>
      </c>
      <c r="E60" s="34">
        <v>6</v>
      </c>
      <c r="F60" s="34">
        <v>25</v>
      </c>
      <c r="G60" s="34">
        <v>160</v>
      </c>
    </row>
    <row r="61" spans="1:7" x14ac:dyDescent="0.25">
      <c r="A61" s="8">
        <v>7</v>
      </c>
      <c r="B61" s="56" t="s">
        <v>147</v>
      </c>
      <c r="C61" s="39">
        <v>43957</v>
      </c>
      <c r="D61" s="34">
        <v>1</v>
      </c>
      <c r="E61" s="34">
        <v>10</v>
      </c>
      <c r="F61" s="34">
        <v>25</v>
      </c>
      <c r="G61" s="34">
        <v>678</v>
      </c>
    </row>
    <row r="62" spans="1:7" x14ac:dyDescent="0.25">
      <c r="A62" s="8">
        <v>8</v>
      </c>
      <c r="B62" s="56" t="s">
        <v>112</v>
      </c>
      <c r="C62" s="39">
        <v>43983</v>
      </c>
      <c r="D62" s="34">
        <v>1</v>
      </c>
      <c r="E62" s="34">
        <v>8</v>
      </c>
      <c r="F62" s="34">
        <v>27</v>
      </c>
      <c r="G62" s="34">
        <v>1630</v>
      </c>
    </row>
    <row r="63" spans="1:7" x14ac:dyDescent="0.25">
      <c r="A63" s="8">
        <v>9</v>
      </c>
      <c r="B63" s="56" t="s">
        <v>145</v>
      </c>
      <c r="C63" s="39">
        <v>43986</v>
      </c>
      <c r="D63" s="34">
        <v>1</v>
      </c>
      <c r="E63" s="34">
        <v>9</v>
      </c>
      <c r="F63" s="34">
        <v>27</v>
      </c>
      <c r="G63" s="34">
        <v>1202</v>
      </c>
    </row>
    <row r="64" spans="1:7" x14ac:dyDescent="0.25">
      <c r="A64" s="8">
        <v>10</v>
      </c>
      <c r="B64" s="56" t="s">
        <v>157</v>
      </c>
      <c r="C64" s="39">
        <v>43986</v>
      </c>
      <c r="D64" s="34">
        <v>1</v>
      </c>
      <c r="E64" s="34">
        <v>8</v>
      </c>
      <c r="F64" s="34">
        <v>24</v>
      </c>
      <c r="G64" s="34">
        <v>462</v>
      </c>
    </row>
    <row r="65" spans="1:14" x14ac:dyDescent="0.25">
      <c r="A65" s="8">
        <v>11</v>
      </c>
      <c r="B65" s="56" t="s">
        <v>146</v>
      </c>
      <c r="C65" s="39">
        <v>43986</v>
      </c>
      <c r="D65" s="34">
        <v>1</v>
      </c>
      <c r="E65" s="34">
        <v>9</v>
      </c>
      <c r="F65" s="34">
        <v>27</v>
      </c>
      <c r="G65" s="34">
        <v>198</v>
      </c>
    </row>
    <row r="66" spans="1:14" x14ac:dyDescent="0.25">
      <c r="A66" s="8">
        <v>12</v>
      </c>
      <c r="B66" s="56" t="s">
        <v>110</v>
      </c>
      <c r="C66" s="39">
        <v>44005</v>
      </c>
      <c r="D66" s="34">
        <v>1</v>
      </c>
      <c r="E66" s="34">
        <v>9</v>
      </c>
      <c r="F66" s="34">
        <v>30</v>
      </c>
      <c r="G66" s="34">
        <v>131.5</v>
      </c>
    </row>
    <row r="67" spans="1:14" x14ac:dyDescent="0.25">
      <c r="A67" s="8">
        <v>13</v>
      </c>
      <c r="B67" s="56" t="s">
        <v>94</v>
      </c>
      <c r="C67" s="39">
        <v>44005</v>
      </c>
      <c r="D67" s="34">
        <v>2</v>
      </c>
      <c r="E67" s="34">
        <v>1</v>
      </c>
      <c r="F67" s="34">
        <v>8</v>
      </c>
      <c r="G67" s="34">
        <v>131</v>
      </c>
    </row>
    <row r="68" spans="1:14" x14ac:dyDescent="0.25">
      <c r="A68" s="8">
        <v>14</v>
      </c>
      <c r="B68" s="56" t="s">
        <v>158</v>
      </c>
      <c r="C68" s="39">
        <v>44025</v>
      </c>
      <c r="D68" s="34">
        <v>1</v>
      </c>
      <c r="E68" s="34">
        <v>3</v>
      </c>
      <c r="F68" s="34">
        <v>18</v>
      </c>
      <c r="G68" s="34">
        <v>899</v>
      </c>
    </row>
    <row r="69" spans="1:14" x14ac:dyDescent="0.25">
      <c r="A69" s="8">
        <v>15</v>
      </c>
      <c r="B69" s="57" t="s">
        <v>95</v>
      </c>
      <c r="C69" s="39">
        <v>44041</v>
      </c>
      <c r="D69" s="34">
        <v>1</v>
      </c>
      <c r="E69" s="34">
        <v>8</v>
      </c>
      <c r="F69" s="34">
        <v>2</v>
      </c>
      <c r="G69" s="34">
        <v>286</v>
      </c>
      <c r="J69" s="1" t="s">
        <v>233</v>
      </c>
      <c r="L69">
        <v>7</v>
      </c>
      <c r="M69">
        <v>2.5</v>
      </c>
      <c r="N69">
        <f>L69*M69</f>
        <v>17.5</v>
      </c>
    </row>
    <row r="70" spans="1:14" x14ac:dyDescent="0.25">
      <c r="A70" s="8">
        <v>16</v>
      </c>
      <c r="B70" s="56" t="s">
        <v>169</v>
      </c>
      <c r="C70" s="39">
        <v>44045</v>
      </c>
      <c r="D70" s="34">
        <v>1</v>
      </c>
      <c r="E70" s="34">
        <v>6</v>
      </c>
      <c r="F70" s="34">
        <v>26</v>
      </c>
      <c r="G70" s="34"/>
    </row>
    <row r="71" spans="1:14" x14ac:dyDescent="0.25">
      <c r="A71" s="8">
        <v>17</v>
      </c>
      <c r="B71" s="56" t="s">
        <v>143</v>
      </c>
      <c r="C71" s="39">
        <v>44050</v>
      </c>
      <c r="D71" s="34">
        <v>1</v>
      </c>
      <c r="E71" s="34">
        <v>7</v>
      </c>
      <c r="F71" s="34">
        <v>24</v>
      </c>
      <c r="G71" s="34">
        <v>1191</v>
      </c>
    </row>
    <row r="72" spans="1:14" x14ac:dyDescent="0.25">
      <c r="A72" s="8">
        <v>18</v>
      </c>
      <c r="B72" s="56" t="s">
        <v>96</v>
      </c>
      <c r="C72" s="39">
        <v>44050</v>
      </c>
      <c r="D72" s="34">
        <v>1</v>
      </c>
      <c r="E72" s="34">
        <v>7</v>
      </c>
      <c r="F72" s="34">
        <v>24</v>
      </c>
      <c r="G72" s="34">
        <v>116</v>
      </c>
    </row>
    <row r="73" spans="1:14" x14ac:dyDescent="0.25">
      <c r="A73" s="8">
        <v>19</v>
      </c>
      <c r="B73" s="56" t="s">
        <v>97</v>
      </c>
      <c r="C73" s="39">
        <v>44052</v>
      </c>
      <c r="D73" s="34">
        <v>1</v>
      </c>
      <c r="E73" s="34">
        <v>7</v>
      </c>
      <c r="F73" s="34">
        <v>22</v>
      </c>
      <c r="G73" s="34">
        <v>1635</v>
      </c>
    </row>
    <row r="74" spans="1:14" x14ac:dyDescent="0.25">
      <c r="A74" s="8">
        <v>20</v>
      </c>
      <c r="B74" s="56" t="s">
        <v>98</v>
      </c>
      <c r="C74" s="39">
        <v>44052</v>
      </c>
      <c r="D74" s="34">
        <v>1</v>
      </c>
      <c r="E74" s="34">
        <v>7</v>
      </c>
      <c r="F74" s="34">
        <v>22</v>
      </c>
      <c r="G74" s="34">
        <v>583</v>
      </c>
    </row>
    <row r="75" spans="1:14" x14ac:dyDescent="0.25">
      <c r="A75" s="8">
        <v>21</v>
      </c>
      <c r="B75" s="56" t="s">
        <v>144</v>
      </c>
      <c r="C75" s="39">
        <v>44052</v>
      </c>
      <c r="D75" s="34">
        <v>1</v>
      </c>
      <c r="E75" s="34">
        <v>7</v>
      </c>
      <c r="F75" s="34">
        <v>22</v>
      </c>
      <c r="G75" s="34">
        <v>230</v>
      </c>
    </row>
    <row r="76" spans="1:14" x14ac:dyDescent="0.25">
      <c r="A76" s="8">
        <v>22</v>
      </c>
      <c r="B76" s="56" t="s">
        <v>99</v>
      </c>
      <c r="C76" s="39">
        <v>44061</v>
      </c>
      <c r="D76" s="34">
        <v>1</v>
      </c>
      <c r="E76" s="34">
        <v>5</v>
      </c>
      <c r="F76" s="34">
        <v>4</v>
      </c>
      <c r="G76" s="34">
        <v>186</v>
      </c>
    </row>
    <row r="77" spans="1:14" x14ac:dyDescent="0.25">
      <c r="A77" s="8">
        <v>23</v>
      </c>
      <c r="B77" s="56" t="s">
        <v>142</v>
      </c>
      <c r="C77" s="39">
        <v>44068</v>
      </c>
      <c r="D77" s="34">
        <v>1</v>
      </c>
      <c r="E77" s="34">
        <v>7</v>
      </c>
      <c r="F77" s="34">
        <v>6</v>
      </c>
      <c r="G77" s="34">
        <v>1334</v>
      </c>
    </row>
    <row r="78" spans="1:14" x14ac:dyDescent="0.25">
      <c r="A78" s="8">
        <v>24</v>
      </c>
      <c r="B78" s="56" t="s">
        <v>100</v>
      </c>
      <c r="C78" s="39">
        <v>44072</v>
      </c>
      <c r="D78" s="34">
        <v>1</v>
      </c>
      <c r="E78" s="34">
        <v>0</v>
      </c>
      <c r="F78" s="34">
        <v>26</v>
      </c>
      <c r="G78" s="34">
        <v>1134</v>
      </c>
    </row>
    <row r="79" spans="1:14" x14ac:dyDescent="0.25">
      <c r="A79" s="8">
        <v>25</v>
      </c>
      <c r="B79" s="56" t="s">
        <v>101</v>
      </c>
      <c r="C79" s="39">
        <v>44083</v>
      </c>
      <c r="D79" s="34">
        <v>1</v>
      </c>
      <c r="E79" s="34">
        <v>6</v>
      </c>
      <c r="F79" s="34">
        <v>22</v>
      </c>
      <c r="G79" s="34">
        <v>1504</v>
      </c>
    </row>
    <row r="80" spans="1:14" x14ac:dyDescent="0.25">
      <c r="A80" s="8">
        <v>26</v>
      </c>
      <c r="B80" s="56" t="s">
        <v>102</v>
      </c>
      <c r="C80" s="39">
        <v>44085</v>
      </c>
      <c r="D80" s="34">
        <v>1</v>
      </c>
      <c r="E80" s="34">
        <v>6</v>
      </c>
      <c r="F80" s="34">
        <v>20</v>
      </c>
      <c r="G80" s="34">
        <v>147</v>
      </c>
    </row>
    <row r="81" spans="1:7" x14ac:dyDescent="0.25">
      <c r="A81" s="8">
        <v>27</v>
      </c>
      <c r="B81" s="56" t="s">
        <v>152</v>
      </c>
      <c r="C81" s="39">
        <v>44229</v>
      </c>
      <c r="D81" s="34">
        <v>1</v>
      </c>
      <c r="E81" s="34">
        <v>8</v>
      </c>
      <c r="F81" s="34">
        <v>29</v>
      </c>
      <c r="G81" s="34">
        <v>192</v>
      </c>
    </row>
    <row r="82" spans="1:7" x14ac:dyDescent="0.25">
      <c r="A82" s="8">
        <v>28</v>
      </c>
      <c r="B82" s="56" t="s">
        <v>150</v>
      </c>
      <c r="C82" s="39">
        <v>44229</v>
      </c>
      <c r="D82" s="34">
        <v>1</v>
      </c>
      <c r="E82" s="34">
        <v>4</v>
      </c>
      <c r="F82" s="34">
        <v>28</v>
      </c>
      <c r="G82" s="34">
        <v>159</v>
      </c>
    </row>
    <row r="83" spans="1:7" x14ac:dyDescent="0.25">
      <c r="A83" s="8">
        <v>29</v>
      </c>
      <c r="B83" s="56" t="s">
        <v>168</v>
      </c>
      <c r="C83" s="39">
        <v>44229</v>
      </c>
      <c r="D83" s="34">
        <v>1</v>
      </c>
      <c r="E83" s="34">
        <v>0</v>
      </c>
      <c r="F83" s="34">
        <v>26</v>
      </c>
      <c r="G83" s="34"/>
    </row>
    <row r="84" spans="1:7" x14ac:dyDescent="0.25">
      <c r="A84" s="8">
        <v>30</v>
      </c>
      <c r="B84" s="56" t="s">
        <v>114</v>
      </c>
      <c r="C84" s="39">
        <v>44232</v>
      </c>
      <c r="D84" s="34">
        <v>1</v>
      </c>
      <c r="E84" s="34">
        <v>0</v>
      </c>
      <c r="F84" s="34">
        <v>23</v>
      </c>
      <c r="G84" s="34">
        <v>1368</v>
      </c>
    </row>
    <row r="85" spans="1:7" x14ac:dyDescent="0.25">
      <c r="A85" s="8">
        <v>31</v>
      </c>
      <c r="B85" s="56" t="s">
        <v>164</v>
      </c>
      <c r="C85" s="39">
        <v>44233</v>
      </c>
      <c r="D85" s="34">
        <v>1</v>
      </c>
      <c r="E85" s="34">
        <v>0</v>
      </c>
      <c r="F85" s="34">
        <v>22</v>
      </c>
      <c r="G85" s="34"/>
    </row>
    <row r="86" spans="1:7" x14ac:dyDescent="0.25">
      <c r="A86" s="8">
        <v>32</v>
      </c>
      <c r="B86" s="56" t="s">
        <v>148</v>
      </c>
      <c r="C86" s="39">
        <v>44238</v>
      </c>
      <c r="D86" s="34">
        <v>1</v>
      </c>
      <c r="E86" s="34">
        <v>5</v>
      </c>
      <c r="F86" s="34">
        <v>21</v>
      </c>
      <c r="G86" s="34">
        <v>1366</v>
      </c>
    </row>
    <row r="87" spans="1:7" x14ac:dyDescent="0.25">
      <c r="A87" s="8">
        <v>33</v>
      </c>
      <c r="B87" s="56" t="s">
        <v>103</v>
      </c>
      <c r="C87" s="39">
        <v>44238</v>
      </c>
      <c r="D87" s="34">
        <v>1</v>
      </c>
      <c r="E87" s="34">
        <v>5</v>
      </c>
      <c r="F87" s="34">
        <v>20</v>
      </c>
      <c r="G87" s="34">
        <v>238</v>
      </c>
    </row>
    <row r="88" spans="1:7" x14ac:dyDescent="0.25">
      <c r="A88" s="8">
        <v>34</v>
      </c>
      <c r="B88" s="56" t="s">
        <v>154</v>
      </c>
      <c r="C88" s="39">
        <v>44238</v>
      </c>
      <c r="D88" s="34">
        <v>1</v>
      </c>
      <c r="E88" s="34">
        <v>5</v>
      </c>
      <c r="F88" s="34">
        <v>21</v>
      </c>
      <c r="G88" s="34">
        <v>116</v>
      </c>
    </row>
    <row r="89" spans="1:7" x14ac:dyDescent="0.25">
      <c r="A89" s="8">
        <v>35</v>
      </c>
      <c r="B89" s="56" t="s">
        <v>104</v>
      </c>
      <c r="C89" s="39">
        <v>44239</v>
      </c>
      <c r="D89" s="34">
        <v>1</v>
      </c>
      <c r="E89" s="34">
        <v>1</v>
      </c>
      <c r="F89" s="34">
        <v>19</v>
      </c>
      <c r="G89" s="34">
        <v>557</v>
      </c>
    </row>
    <row r="90" spans="1:7" x14ac:dyDescent="0.25">
      <c r="A90" s="8">
        <v>36</v>
      </c>
      <c r="B90" s="56" t="s">
        <v>156</v>
      </c>
      <c r="C90" s="39">
        <v>44243</v>
      </c>
      <c r="D90" s="34">
        <v>1</v>
      </c>
      <c r="E90" s="34">
        <v>1</v>
      </c>
      <c r="F90" s="34">
        <v>15</v>
      </c>
      <c r="G90" s="34">
        <v>856</v>
      </c>
    </row>
    <row r="91" spans="1:7" x14ac:dyDescent="0.25">
      <c r="A91" s="8">
        <v>37</v>
      </c>
      <c r="B91" s="58" t="s">
        <v>105</v>
      </c>
      <c r="C91" s="39">
        <v>44243</v>
      </c>
      <c r="D91" s="34">
        <v>1</v>
      </c>
      <c r="E91" s="34">
        <v>5</v>
      </c>
      <c r="F91" s="34">
        <v>15</v>
      </c>
      <c r="G91" s="34">
        <v>743</v>
      </c>
    </row>
    <row r="92" spans="1:7" x14ac:dyDescent="0.25">
      <c r="A92" s="8">
        <v>38</v>
      </c>
      <c r="B92" s="56" t="s">
        <v>165</v>
      </c>
      <c r="C92" s="39">
        <v>44243</v>
      </c>
      <c r="D92" s="34">
        <v>1</v>
      </c>
      <c r="E92" s="34">
        <v>1</v>
      </c>
      <c r="F92" s="34">
        <v>15</v>
      </c>
      <c r="G92" s="34">
        <v>358</v>
      </c>
    </row>
    <row r="93" spans="1:7" x14ac:dyDescent="0.25">
      <c r="A93" s="8">
        <v>39</v>
      </c>
      <c r="B93" s="56" t="s">
        <v>106</v>
      </c>
      <c r="C93" s="39">
        <v>44243</v>
      </c>
      <c r="D93" s="34">
        <v>1</v>
      </c>
      <c r="E93" s="34">
        <v>5</v>
      </c>
      <c r="F93" s="34">
        <v>15</v>
      </c>
      <c r="G93" s="34">
        <v>192</v>
      </c>
    </row>
    <row r="94" spans="1:7" x14ac:dyDescent="0.25">
      <c r="A94" s="8">
        <v>40</v>
      </c>
      <c r="B94" s="56" t="s">
        <v>107</v>
      </c>
      <c r="C94" s="39">
        <v>44246</v>
      </c>
      <c r="D94" s="34">
        <v>1</v>
      </c>
      <c r="E94" s="34">
        <v>1</v>
      </c>
      <c r="F94" s="34">
        <v>12</v>
      </c>
      <c r="G94" s="34">
        <v>1697</v>
      </c>
    </row>
    <row r="95" spans="1:7" x14ac:dyDescent="0.25">
      <c r="A95" s="8">
        <v>41</v>
      </c>
      <c r="B95" s="56" t="s">
        <v>108</v>
      </c>
      <c r="C95" s="39">
        <v>44301</v>
      </c>
      <c r="D95" s="34">
        <v>1</v>
      </c>
      <c r="E95" s="34">
        <v>3</v>
      </c>
      <c r="F95" s="34">
        <v>16</v>
      </c>
      <c r="G95" s="34">
        <v>1509</v>
      </c>
    </row>
    <row r="96" spans="1:7" x14ac:dyDescent="0.25">
      <c r="A96" s="8">
        <v>42</v>
      </c>
      <c r="B96" s="56" t="s">
        <v>149</v>
      </c>
      <c r="C96" s="39">
        <v>44301</v>
      </c>
      <c r="D96" s="34">
        <v>1</v>
      </c>
      <c r="E96" s="34">
        <v>2</v>
      </c>
      <c r="F96" s="34">
        <v>15</v>
      </c>
      <c r="G96" s="34">
        <v>1252</v>
      </c>
    </row>
    <row r="97" spans="1:7" x14ac:dyDescent="0.25">
      <c r="A97" s="8">
        <v>43</v>
      </c>
      <c r="B97" s="56" t="s">
        <v>115</v>
      </c>
      <c r="C97" s="39">
        <v>44333</v>
      </c>
      <c r="D97" s="34">
        <v>1</v>
      </c>
      <c r="E97" s="34">
        <v>1</v>
      </c>
      <c r="F97" s="34">
        <v>14</v>
      </c>
      <c r="G97" s="34">
        <v>143</v>
      </c>
    </row>
    <row r="98" spans="1:7" x14ac:dyDescent="0.25">
      <c r="A98" s="8">
        <v>44</v>
      </c>
      <c r="B98" s="56" t="s">
        <v>153</v>
      </c>
      <c r="C98" s="39">
        <v>44335</v>
      </c>
      <c r="D98" s="34">
        <v>1</v>
      </c>
      <c r="E98" s="34">
        <v>1</v>
      </c>
      <c r="F98" s="34">
        <v>11</v>
      </c>
      <c r="G98" s="34">
        <v>245</v>
      </c>
    </row>
    <row r="99" spans="1:7" x14ac:dyDescent="0.25">
      <c r="A99" s="9"/>
      <c r="B99" s="59"/>
      <c r="C99" s="41"/>
      <c r="D99" s="51"/>
      <c r="E99" s="51"/>
      <c r="F99" s="51"/>
      <c r="G99" s="51"/>
    </row>
    <row r="101" spans="1:7" ht="18.75" customHeight="1" x14ac:dyDescent="0.25">
      <c r="A101" s="75" t="s">
        <v>129</v>
      </c>
      <c r="B101" s="75"/>
      <c r="C101" s="75"/>
      <c r="D101" s="75"/>
      <c r="E101" s="75"/>
      <c r="F101" s="75"/>
      <c r="G101" s="75"/>
    </row>
    <row r="102" spans="1:7" x14ac:dyDescent="0.25">
      <c r="A102" s="76" t="s">
        <v>3</v>
      </c>
      <c r="B102" s="77" t="s">
        <v>4</v>
      </c>
      <c r="C102" s="78" t="s">
        <v>7</v>
      </c>
      <c r="D102" s="80" t="s">
        <v>5</v>
      </c>
      <c r="E102" s="80"/>
      <c r="F102" s="80"/>
      <c r="G102" s="4" t="s">
        <v>6</v>
      </c>
    </row>
    <row r="103" spans="1:7" ht="45" x14ac:dyDescent="0.25">
      <c r="A103" s="76"/>
      <c r="B103" s="77"/>
      <c r="C103" s="79"/>
      <c r="D103" s="3" t="s">
        <v>0</v>
      </c>
      <c r="E103" s="3" t="s">
        <v>1</v>
      </c>
      <c r="F103" s="3" t="s">
        <v>2</v>
      </c>
      <c r="G103" s="4" t="s">
        <v>8</v>
      </c>
    </row>
    <row r="104" spans="1:7" x14ac:dyDescent="0.25">
      <c r="A104" s="8">
        <v>1</v>
      </c>
      <c r="B104" s="60" t="s">
        <v>130</v>
      </c>
      <c r="C104" s="35">
        <v>44020</v>
      </c>
      <c r="D104" s="34">
        <v>1</v>
      </c>
      <c r="E104" s="34">
        <v>9</v>
      </c>
      <c r="F104" s="34">
        <v>27</v>
      </c>
      <c r="G104" s="34">
        <v>338</v>
      </c>
    </row>
    <row r="105" spans="1:7" x14ac:dyDescent="0.25">
      <c r="A105" s="8">
        <v>2</v>
      </c>
      <c r="B105" s="60" t="s">
        <v>178</v>
      </c>
      <c r="C105" s="35">
        <v>44020</v>
      </c>
      <c r="D105" s="34">
        <v>1</v>
      </c>
      <c r="E105" s="34">
        <v>8</v>
      </c>
      <c r="F105" s="34">
        <v>23</v>
      </c>
      <c r="G105" s="34">
        <v>264</v>
      </c>
    </row>
    <row r="106" spans="1:7" x14ac:dyDescent="0.25">
      <c r="A106" s="8">
        <v>3</v>
      </c>
      <c r="B106" s="60" t="s">
        <v>133</v>
      </c>
      <c r="C106" s="39">
        <v>44023</v>
      </c>
      <c r="D106" s="45">
        <v>1</v>
      </c>
      <c r="E106" s="45">
        <v>8</v>
      </c>
      <c r="F106" s="45">
        <v>23</v>
      </c>
      <c r="G106" s="45">
        <v>1042</v>
      </c>
    </row>
    <row r="107" spans="1:7" x14ac:dyDescent="0.25">
      <c r="A107" s="8">
        <v>4</v>
      </c>
      <c r="B107" s="60" t="s">
        <v>137</v>
      </c>
      <c r="C107" s="35">
        <v>44038</v>
      </c>
      <c r="D107" s="34">
        <v>1</v>
      </c>
      <c r="E107" s="34">
        <v>5</v>
      </c>
      <c r="F107" s="34">
        <v>9</v>
      </c>
      <c r="G107" s="34"/>
    </row>
    <row r="108" spans="1:7" x14ac:dyDescent="0.25">
      <c r="A108" s="8">
        <v>5</v>
      </c>
      <c r="B108" s="60" t="s">
        <v>131</v>
      </c>
      <c r="C108" s="35">
        <v>44039</v>
      </c>
      <c r="D108" s="34">
        <v>1</v>
      </c>
      <c r="E108" s="34">
        <v>9</v>
      </c>
      <c r="F108" s="34">
        <v>8</v>
      </c>
      <c r="G108" s="34">
        <v>192</v>
      </c>
    </row>
    <row r="109" spans="1:7" x14ac:dyDescent="0.25">
      <c r="A109" s="8">
        <v>6</v>
      </c>
      <c r="B109" s="60" t="s">
        <v>176</v>
      </c>
      <c r="C109" s="35">
        <v>44250</v>
      </c>
      <c r="D109" s="34">
        <v>1</v>
      </c>
      <c r="E109" s="34">
        <v>5</v>
      </c>
      <c r="F109" s="34">
        <v>9</v>
      </c>
      <c r="G109" s="34">
        <v>252</v>
      </c>
    </row>
    <row r="110" spans="1:7" x14ac:dyDescent="0.25">
      <c r="A110" s="8">
        <v>7</v>
      </c>
      <c r="B110" s="60" t="s">
        <v>134</v>
      </c>
      <c r="C110" s="35">
        <v>44263</v>
      </c>
      <c r="D110" s="34">
        <v>1</v>
      </c>
      <c r="E110" s="34">
        <v>4</v>
      </c>
      <c r="F110" s="34">
        <v>27</v>
      </c>
      <c r="G110" s="34">
        <v>432</v>
      </c>
    </row>
    <row r="111" spans="1:7" x14ac:dyDescent="0.25">
      <c r="A111" s="8">
        <v>8</v>
      </c>
      <c r="B111" s="60" t="s">
        <v>177</v>
      </c>
      <c r="C111" s="35">
        <v>44263</v>
      </c>
      <c r="D111" s="34">
        <v>1</v>
      </c>
      <c r="E111" s="34">
        <v>4</v>
      </c>
      <c r="F111" s="34">
        <v>26</v>
      </c>
      <c r="G111" s="34">
        <v>354</v>
      </c>
    </row>
    <row r="112" spans="1:7" x14ac:dyDescent="0.25">
      <c r="A112" s="8">
        <v>9</v>
      </c>
      <c r="B112" s="60" t="s">
        <v>135</v>
      </c>
      <c r="C112" s="35">
        <v>44263</v>
      </c>
      <c r="D112" s="34">
        <v>1</v>
      </c>
      <c r="E112" s="34">
        <v>4</v>
      </c>
      <c r="F112" s="34">
        <v>27</v>
      </c>
      <c r="G112" s="34">
        <v>338</v>
      </c>
    </row>
    <row r="113" spans="1:10" x14ac:dyDescent="0.25">
      <c r="A113" s="8">
        <v>10</v>
      </c>
      <c r="B113" s="60" t="s">
        <v>132</v>
      </c>
      <c r="C113" s="35">
        <v>44263</v>
      </c>
      <c r="D113" s="34">
        <v>1</v>
      </c>
      <c r="E113" s="34">
        <v>4</v>
      </c>
      <c r="F113" s="34">
        <v>27</v>
      </c>
      <c r="G113" s="34">
        <v>100</v>
      </c>
    </row>
    <row r="116" spans="1:10" ht="18.75" x14ac:dyDescent="0.25">
      <c r="A116" s="75" t="s">
        <v>179</v>
      </c>
      <c r="B116" s="75"/>
      <c r="C116" s="75"/>
      <c r="D116" s="75"/>
      <c r="E116" s="75"/>
      <c r="F116" s="75"/>
      <c r="G116" s="75"/>
    </row>
    <row r="117" spans="1:10" x14ac:dyDescent="0.25">
      <c r="A117" s="76" t="s">
        <v>3</v>
      </c>
      <c r="B117" s="77" t="s">
        <v>4</v>
      </c>
      <c r="C117" s="78" t="s">
        <v>7</v>
      </c>
      <c r="D117" s="80" t="s">
        <v>5</v>
      </c>
      <c r="E117" s="80"/>
      <c r="F117" s="80"/>
      <c r="G117" s="4" t="s">
        <v>6</v>
      </c>
    </row>
    <row r="118" spans="1:10" ht="45" x14ac:dyDescent="0.25">
      <c r="A118" s="76"/>
      <c r="B118" s="77"/>
      <c r="C118" s="79"/>
      <c r="D118" s="3" t="s">
        <v>0</v>
      </c>
      <c r="E118" s="3" t="s">
        <v>1</v>
      </c>
      <c r="F118" s="3" t="s">
        <v>2</v>
      </c>
      <c r="G118" s="4" t="s">
        <v>8</v>
      </c>
    </row>
    <row r="119" spans="1:10" x14ac:dyDescent="0.25">
      <c r="A119" s="8">
        <v>1</v>
      </c>
      <c r="B119" s="60" t="s">
        <v>182</v>
      </c>
      <c r="C119" s="35">
        <v>44239</v>
      </c>
      <c r="D119" s="34">
        <v>1</v>
      </c>
      <c r="E119" s="34">
        <v>5</v>
      </c>
      <c r="F119" s="34">
        <v>20</v>
      </c>
      <c r="G119" s="34">
        <v>168</v>
      </c>
    </row>
    <row r="120" spans="1:10" x14ac:dyDescent="0.25">
      <c r="A120" s="8">
        <v>2</v>
      </c>
      <c r="B120" s="60" t="s">
        <v>183</v>
      </c>
      <c r="C120" s="35">
        <v>44239</v>
      </c>
      <c r="D120" s="34">
        <v>1</v>
      </c>
      <c r="E120" s="34">
        <v>5</v>
      </c>
      <c r="F120" s="34">
        <v>20</v>
      </c>
      <c r="G120" s="34">
        <v>72</v>
      </c>
    </row>
    <row r="121" spans="1:10" x14ac:dyDescent="0.25">
      <c r="A121" s="8">
        <v>3</v>
      </c>
      <c r="B121" s="60" t="s">
        <v>181</v>
      </c>
      <c r="C121" s="35">
        <v>44239</v>
      </c>
      <c r="D121" s="34">
        <v>1</v>
      </c>
      <c r="E121" s="34">
        <v>5</v>
      </c>
      <c r="F121" s="34">
        <v>20</v>
      </c>
      <c r="G121" s="34">
        <v>54</v>
      </c>
    </row>
    <row r="122" spans="1:10" x14ac:dyDescent="0.25">
      <c r="A122" s="8">
        <v>4</v>
      </c>
      <c r="B122" s="60" t="s">
        <v>180</v>
      </c>
      <c r="C122" s="35">
        <v>44264</v>
      </c>
      <c r="D122" s="34">
        <v>1</v>
      </c>
      <c r="E122" s="34">
        <v>4</v>
      </c>
      <c r="F122" s="34">
        <v>25</v>
      </c>
      <c r="G122" s="34">
        <v>1340</v>
      </c>
    </row>
    <row r="125" spans="1:10" ht="18.75" customHeight="1" x14ac:dyDescent="0.25">
      <c r="A125" s="75" t="s">
        <v>184</v>
      </c>
      <c r="B125" s="75"/>
      <c r="C125" s="75"/>
      <c r="D125" s="75"/>
      <c r="E125" s="75"/>
      <c r="F125" s="75"/>
      <c r="G125" s="75"/>
    </row>
    <row r="126" spans="1:10" x14ac:dyDescent="0.25">
      <c r="A126" s="76" t="s">
        <v>3</v>
      </c>
      <c r="B126" s="77" t="s">
        <v>4</v>
      </c>
      <c r="C126" s="78" t="s">
        <v>7</v>
      </c>
      <c r="D126" s="80" t="s">
        <v>5</v>
      </c>
      <c r="E126" s="80"/>
      <c r="F126" s="80"/>
      <c r="G126" s="4" t="s">
        <v>6</v>
      </c>
    </row>
    <row r="127" spans="1:10" ht="45" x14ac:dyDescent="0.25">
      <c r="A127" s="76"/>
      <c r="B127" s="77"/>
      <c r="C127" s="79"/>
      <c r="D127" s="3" t="s">
        <v>0</v>
      </c>
      <c r="E127" s="3" t="s">
        <v>1</v>
      </c>
      <c r="F127" s="3" t="s">
        <v>2</v>
      </c>
      <c r="G127" s="4" t="s">
        <v>8</v>
      </c>
    </row>
    <row r="128" spans="1:10" x14ac:dyDescent="0.25">
      <c r="A128" s="8">
        <v>1</v>
      </c>
      <c r="B128" s="56" t="s">
        <v>185</v>
      </c>
      <c r="C128" s="40">
        <v>43981</v>
      </c>
      <c r="D128" s="33">
        <v>2</v>
      </c>
      <c r="E128" s="33">
        <v>2</v>
      </c>
      <c r="F128" s="33">
        <v>3</v>
      </c>
      <c r="G128" s="34">
        <v>522</v>
      </c>
      <c r="H128" t="s">
        <v>234</v>
      </c>
      <c r="J128" t="s">
        <v>235</v>
      </c>
    </row>
    <row r="131" spans="1:7" ht="18.75" customHeight="1" x14ac:dyDescent="0.25">
      <c r="A131" s="75" t="s">
        <v>190</v>
      </c>
      <c r="B131" s="75"/>
      <c r="C131" s="75"/>
      <c r="D131" s="75"/>
      <c r="E131" s="75"/>
      <c r="F131" s="75"/>
      <c r="G131" s="75"/>
    </row>
    <row r="132" spans="1:7" x14ac:dyDescent="0.25">
      <c r="A132" s="76" t="s">
        <v>3</v>
      </c>
      <c r="B132" s="77" t="s">
        <v>4</v>
      </c>
      <c r="C132" s="78" t="s">
        <v>7</v>
      </c>
      <c r="D132" s="80" t="s">
        <v>5</v>
      </c>
      <c r="E132" s="80"/>
      <c r="F132" s="80"/>
      <c r="G132" s="4" t="s">
        <v>6</v>
      </c>
    </row>
    <row r="133" spans="1:7" ht="45" x14ac:dyDescent="0.25">
      <c r="A133" s="76"/>
      <c r="B133" s="77"/>
      <c r="C133" s="79"/>
      <c r="D133" s="3" t="s">
        <v>0</v>
      </c>
      <c r="E133" s="3" t="s">
        <v>1</v>
      </c>
      <c r="F133" s="3" t="s">
        <v>2</v>
      </c>
      <c r="G133" s="4" t="s">
        <v>8</v>
      </c>
    </row>
    <row r="134" spans="1:7" x14ac:dyDescent="0.25">
      <c r="A134" s="8">
        <v>1</v>
      </c>
      <c r="B134" s="56" t="s">
        <v>191</v>
      </c>
      <c r="C134" s="39">
        <v>44254</v>
      </c>
      <c r="D134" s="45">
        <v>1</v>
      </c>
      <c r="E134" s="45">
        <v>0</v>
      </c>
      <c r="F134" s="45">
        <v>31</v>
      </c>
      <c r="G134" s="45"/>
    </row>
    <row r="137" spans="1:7" ht="18.75" customHeight="1" x14ac:dyDescent="0.25">
      <c r="A137" s="75" t="s">
        <v>192</v>
      </c>
      <c r="B137" s="75"/>
      <c r="C137" s="75"/>
      <c r="D137" s="75"/>
      <c r="E137" s="75"/>
      <c r="F137" s="75"/>
      <c r="G137" s="75"/>
    </row>
    <row r="138" spans="1:7" x14ac:dyDescent="0.25">
      <c r="A138" s="76" t="s">
        <v>3</v>
      </c>
      <c r="B138" s="77" t="s">
        <v>4</v>
      </c>
      <c r="C138" s="78" t="s">
        <v>7</v>
      </c>
      <c r="D138" s="80" t="s">
        <v>5</v>
      </c>
      <c r="E138" s="80"/>
      <c r="F138" s="80"/>
      <c r="G138" s="4" t="s">
        <v>6</v>
      </c>
    </row>
    <row r="139" spans="1:7" ht="45" x14ac:dyDescent="0.25">
      <c r="A139" s="76"/>
      <c r="B139" s="77"/>
      <c r="C139" s="79"/>
      <c r="D139" s="3" t="s">
        <v>0</v>
      </c>
      <c r="E139" s="3" t="s">
        <v>1</v>
      </c>
      <c r="F139" s="3" t="s">
        <v>2</v>
      </c>
      <c r="G139" s="4" t="s">
        <v>8</v>
      </c>
    </row>
    <row r="140" spans="1:7" x14ac:dyDescent="0.25">
      <c r="A140" s="8">
        <v>1</v>
      </c>
      <c r="B140" s="56" t="s">
        <v>193</v>
      </c>
      <c r="C140" s="35">
        <v>43917</v>
      </c>
      <c r="D140" s="34">
        <v>2</v>
      </c>
      <c r="E140" s="34"/>
      <c r="F140" s="34">
        <v>3</v>
      </c>
      <c r="G140" s="52">
        <v>2656</v>
      </c>
    </row>
    <row r="141" spans="1:7" x14ac:dyDescent="0.25">
      <c r="A141" s="8">
        <v>2</v>
      </c>
      <c r="B141" s="56" t="s">
        <v>194</v>
      </c>
      <c r="C141" s="35">
        <v>43943</v>
      </c>
      <c r="D141" s="34">
        <v>2</v>
      </c>
      <c r="E141" s="34">
        <v>3</v>
      </c>
      <c r="F141" s="34">
        <v>10</v>
      </c>
      <c r="G141" s="34">
        <v>168</v>
      </c>
    </row>
    <row r="142" spans="1:7" x14ac:dyDescent="0.25">
      <c r="A142" s="8">
        <v>3</v>
      </c>
      <c r="B142" s="16" t="s">
        <v>228</v>
      </c>
      <c r="C142" s="13">
        <v>43971</v>
      </c>
      <c r="D142" s="32">
        <v>1</v>
      </c>
      <c r="E142" s="32">
        <v>9</v>
      </c>
      <c r="F142" s="32">
        <v>10</v>
      </c>
      <c r="G142" s="32"/>
    </row>
    <row r="143" spans="1:7" x14ac:dyDescent="0.25">
      <c r="A143" s="8">
        <v>4</v>
      </c>
      <c r="B143" s="56" t="s">
        <v>195</v>
      </c>
      <c r="C143" s="35">
        <v>44015</v>
      </c>
      <c r="D143" s="34">
        <v>1</v>
      </c>
      <c r="E143" s="34">
        <v>8</v>
      </c>
      <c r="F143" s="34">
        <v>27</v>
      </c>
      <c r="G143" s="34">
        <v>450</v>
      </c>
    </row>
    <row r="144" spans="1:7" x14ac:dyDescent="0.25">
      <c r="A144" s="8">
        <v>5</v>
      </c>
      <c r="B144" s="16" t="s">
        <v>198</v>
      </c>
      <c r="C144" s="13">
        <v>44228</v>
      </c>
      <c r="D144" s="32">
        <v>1</v>
      </c>
      <c r="E144" s="32"/>
      <c r="F144" s="32">
        <v>26</v>
      </c>
      <c r="G144" s="32"/>
    </row>
    <row r="145" spans="1:7" x14ac:dyDescent="0.25">
      <c r="A145" s="8">
        <v>6</v>
      </c>
      <c r="B145" s="16" t="s">
        <v>226</v>
      </c>
      <c r="C145" s="13">
        <v>44232</v>
      </c>
      <c r="D145" s="32">
        <v>1</v>
      </c>
      <c r="E145" s="32">
        <v>5</v>
      </c>
      <c r="F145" s="32">
        <v>27</v>
      </c>
      <c r="G145" s="32"/>
    </row>
    <row r="146" spans="1:7" x14ac:dyDescent="0.25">
      <c r="A146" s="8">
        <v>7</v>
      </c>
      <c r="B146" s="16" t="s">
        <v>213</v>
      </c>
      <c r="C146" s="13">
        <v>44233</v>
      </c>
      <c r="D146" s="32">
        <v>1</v>
      </c>
      <c r="E146" s="32">
        <v>0</v>
      </c>
      <c r="F146" s="32">
        <v>23</v>
      </c>
      <c r="G146" s="32"/>
    </row>
    <row r="147" spans="1:7" x14ac:dyDescent="0.25">
      <c r="A147" s="8">
        <v>8</v>
      </c>
      <c r="B147" s="16" t="s">
        <v>224</v>
      </c>
      <c r="C147" s="13">
        <v>44236</v>
      </c>
      <c r="D147" s="32">
        <v>1</v>
      </c>
      <c r="E147" s="32">
        <v>0</v>
      </c>
      <c r="F147" s="32">
        <v>19</v>
      </c>
      <c r="G147" s="62"/>
    </row>
    <row r="148" spans="1:7" x14ac:dyDescent="0.25">
      <c r="A148" s="8">
        <v>9</v>
      </c>
      <c r="B148" s="16" t="s">
        <v>200</v>
      </c>
      <c r="C148" s="13">
        <v>44236</v>
      </c>
      <c r="D148" s="32">
        <v>1</v>
      </c>
      <c r="E148" s="32"/>
      <c r="F148" s="32">
        <v>18</v>
      </c>
      <c r="G148" s="32"/>
    </row>
    <row r="149" spans="1:7" x14ac:dyDescent="0.25">
      <c r="A149" s="8">
        <v>10</v>
      </c>
      <c r="B149" s="16" t="s">
        <v>199</v>
      </c>
      <c r="C149" s="13">
        <v>44239</v>
      </c>
      <c r="D149" s="32">
        <v>1</v>
      </c>
      <c r="E149" s="32"/>
      <c r="F149" s="32">
        <v>15</v>
      </c>
      <c r="G149" s="32"/>
    </row>
    <row r="150" spans="1:7" x14ac:dyDescent="0.25">
      <c r="A150" s="8">
        <v>11</v>
      </c>
      <c r="B150" s="16" t="s">
        <v>214</v>
      </c>
      <c r="C150" s="13">
        <v>44254</v>
      </c>
      <c r="D150" s="32">
        <v>1</v>
      </c>
      <c r="E150" s="32">
        <v>1</v>
      </c>
      <c r="F150" s="32">
        <v>3</v>
      </c>
      <c r="G150" s="32"/>
    </row>
    <row r="151" spans="1:7" x14ac:dyDescent="0.25">
      <c r="A151" s="8">
        <v>12</v>
      </c>
      <c r="B151" s="56" t="s">
        <v>203</v>
      </c>
      <c r="C151" s="40">
        <v>44258</v>
      </c>
      <c r="D151" s="33">
        <v>1</v>
      </c>
      <c r="E151" s="33">
        <v>0</v>
      </c>
      <c r="F151" s="33">
        <v>29</v>
      </c>
      <c r="G151" s="34">
        <v>102</v>
      </c>
    </row>
    <row r="152" spans="1:7" x14ac:dyDescent="0.25">
      <c r="A152" s="8">
        <v>13</v>
      </c>
      <c r="B152" s="63" t="s">
        <v>196</v>
      </c>
      <c r="C152" s="42">
        <v>44260</v>
      </c>
      <c r="D152" s="8">
        <v>1</v>
      </c>
      <c r="E152" s="8">
        <v>4</v>
      </c>
      <c r="F152" s="8">
        <v>28</v>
      </c>
      <c r="G152" s="8">
        <v>309</v>
      </c>
    </row>
    <row r="153" spans="1:7" x14ac:dyDescent="0.25">
      <c r="A153" s="8">
        <v>14</v>
      </c>
      <c r="B153" s="16" t="s">
        <v>229</v>
      </c>
      <c r="C153" s="13">
        <v>44264</v>
      </c>
      <c r="D153" s="32">
        <v>1</v>
      </c>
      <c r="E153" s="32">
        <v>0</v>
      </c>
      <c r="F153" s="32">
        <v>22</v>
      </c>
      <c r="G153" s="32"/>
    </row>
    <row r="154" spans="1:7" x14ac:dyDescent="0.25">
      <c r="A154" s="8">
        <v>15</v>
      </c>
      <c r="B154" s="63" t="s">
        <v>197</v>
      </c>
      <c r="C154" s="42">
        <v>44271</v>
      </c>
      <c r="D154" s="8">
        <v>1</v>
      </c>
      <c r="E154" s="8"/>
      <c r="F154" s="8">
        <v>14</v>
      </c>
      <c r="G154" s="8">
        <v>117</v>
      </c>
    </row>
    <row r="155" spans="1:7" x14ac:dyDescent="0.25">
      <c r="A155" s="8">
        <v>16</v>
      </c>
      <c r="B155" s="16" t="s">
        <v>225</v>
      </c>
      <c r="C155" s="13">
        <v>44285</v>
      </c>
      <c r="D155" s="32">
        <v>1</v>
      </c>
      <c r="E155" s="32">
        <v>3</v>
      </c>
      <c r="F155" s="32">
        <v>1</v>
      </c>
      <c r="G155" s="32"/>
    </row>
    <row r="156" spans="1:7" x14ac:dyDescent="0.25">
      <c r="A156" s="8">
        <v>17</v>
      </c>
      <c r="B156" s="16" t="s">
        <v>211</v>
      </c>
      <c r="C156" s="13" t="s">
        <v>212</v>
      </c>
      <c r="D156" s="32">
        <v>1</v>
      </c>
      <c r="E156" s="32">
        <v>7</v>
      </c>
      <c r="F156" s="32">
        <v>15</v>
      </c>
      <c r="G156" s="32"/>
    </row>
    <row r="159" spans="1:7" ht="18.75" customHeight="1" x14ac:dyDescent="0.25">
      <c r="A159" s="75" t="s">
        <v>209</v>
      </c>
      <c r="B159" s="75"/>
      <c r="C159" s="75"/>
      <c r="D159" s="75"/>
      <c r="E159" s="75"/>
      <c r="F159" s="75"/>
      <c r="G159" s="75"/>
    </row>
    <row r="160" spans="1:7" x14ac:dyDescent="0.25">
      <c r="A160" s="76" t="s">
        <v>3</v>
      </c>
      <c r="B160" s="77" t="s">
        <v>4</v>
      </c>
      <c r="C160" s="78" t="s">
        <v>7</v>
      </c>
      <c r="D160" s="80" t="s">
        <v>5</v>
      </c>
      <c r="E160" s="80"/>
      <c r="F160" s="80"/>
      <c r="G160" s="4" t="s">
        <v>6</v>
      </c>
    </row>
    <row r="161" spans="1:7" ht="45" x14ac:dyDescent="0.25">
      <c r="A161" s="76"/>
      <c r="B161" s="77"/>
      <c r="C161" s="79"/>
      <c r="D161" s="3" t="s">
        <v>0</v>
      </c>
      <c r="E161" s="3" t="s">
        <v>1</v>
      </c>
      <c r="F161" s="3" t="s">
        <v>2</v>
      </c>
      <c r="G161" s="4" t="s">
        <v>8</v>
      </c>
    </row>
    <row r="162" spans="1:7" x14ac:dyDescent="0.25">
      <c r="A162" s="8">
        <v>1</v>
      </c>
      <c r="B162" s="56" t="s">
        <v>204</v>
      </c>
      <c r="C162" s="40">
        <v>44236</v>
      </c>
      <c r="D162" s="33">
        <v>1</v>
      </c>
      <c r="E162" s="33">
        <v>0</v>
      </c>
      <c r="F162" s="33">
        <v>20</v>
      </c>
      <c r="G162" s="34">
        <v>457</v>
      </c>
    </row>
    <row r="163" spans="1:7" x14ac:dyDescent="0.25">
      <c r="A163" s="8">
        <v>2</v>
      </c>
      <c r="B163" s="56" t="s">
        <v>205</v>
      </c>
      <c r="C163" s="40">
        <v>44263</v>
      </c>
      <c r="D163" s="33">
        <v>1</v>
      </c>
      <c r="E163" s="33">
        <v>4</v>
      </c>
      <c r="F163" s="33">
        <v>26</v>
      </c>
      <c r="G163" s="34">
        <v>848</v>
      </c>
    </row>
    <row r="166" spans="1:7" ht="18.75" customHeight="1" x14ac:dyDescent="0.25">
      <c r="A166" s="75" t="s">
        <v>210</v>
      </c>
      <c r="B166" s="75"/>
      <c r="C166" s="75"/>
      <c r="D166" s="75"/>
      <c r="E166" s="75"/>
      <c r="F166" s="75"/>
      <c r="G166" s="75"/>
    </row>
    <row r="167" spans="1:7" x14ac:dyDescent="0.25">
      <c r="A167" s="76" t="s">
        <v>3</v>
      </c>
      <c r="B167" s="77" t="s">
        <v>4</v>
      </c>
      <c r="C167" s="78" t="s">
        <v>7</v>
      </c>
      <c r="D167" s="80" t="s">
        <v>5</v>
      </c>
      <c r="E167" s="80"/>
      <c r="F167" s="80"/>
      <c r="G167" s="4" t="s">
        <v>6</v>
      </c>
    </row>
    <row r="168" spans="1:7" ht="45" x14ac:dyDescent="0.25">
      <c r="A168" s="76"/>
      <c r="B168" s="77"/>
      <c r="C168" s="79"/>
      <c r="D168" s="3" t="s">
        <v>0</v>
      </c>
      <c r="E168" s="3" t="s">
        <v>1</v>
      </c>
      <c r="F168" s="3" t="s">
        <v>2</v>
      </c>
      <c r="G168" s="4" t="s">
        <v>8</v>
      </c>
    </row>
    <row r="169" spans="1:7" x14ac:dyDescent="0.25">
      <c r="A169" s="8">
        <v>1</v>
      </c>
      <c r="B169" s="56" t="s">
        <v>206</v>
      </c>
      <c r="C169" s="40">
        <v>44226</v>
      </c>
      <c r="D169" s="33">
        <v>1</v>
      </c>
      <c r="E169" s="33">
        <v>2</v>
      </c>
      <c r="F169" s="33">
        <v>1</v>
      </c>
      <c r="G169" s="34">
        <v>456</v>
      </c>
    </row>
    <row r="170" spans="1:7" x14ac:dyDescent="0.25">
      <c r="A170" s="8">
        <v>2</v>
      </c>
      <c r="B170" s="56" t="s">
        <v>207</v>
      </c>
      <c r="C170" s="40">
        <v>44245</v>
      </c>
      <c r="D170" s="33">
        <v>1</v>
      </c>
      <c r="E170" s="33">
        <v>1</v>
      </c>
      <c r="F170" s="33">
        <v>12</v>
      </c>
      <c r="G170" s="34">
        <v>720</v>
      </c>
    </row>
    <row r="171" spans="1:7" x14ac:dyDescent="0.25">
      <c r="A171" s="8">
        <v>3</v>
      </c>
      <c r="B171" s="56" t="s">
        <v>208</v>
      </c>
      <c r="C171" s="40">
        <v>44250</v>
      </c>
      <c r="D171" s="33">
        <v>1</v>
      </c>
      <c r="E171" s="33">
        <v>2</v>
      </c>
      <c r="F171" s="33">
        <v>7</v>
      </c>
      <c r="G171" s="34">
        <v>108</v>
      </c>
    </row>
  </sheetData>
  <autoFilter ref="A54:N54" xr:uid="{00000000-0001-0000-0000-000000000000}"/>
  <sortState xmlns:xlrd2="http://schemas.microsoft.com/office/spreadsheetml/2017/richdata2" ref="A10:G49">
    <sortCondition ref="C9:C49"/>
    <sortCondition descending="1" ref="G9:G49"/>
  </sortState>
  <mergeCells count="48">
    <mergeCell ref="A52:G52"/>
    <mergeCell ref="A53:A54"/>
    <mergeCell ref="B53:B54"/>
    <mergeCell ref="C53:C54"/>
    <mergeCell ref="D53:F53"/>
    <mergeCell ref="A2:G2"/>
    <mergeCell ref="A1:G1"/>
    <mergeCell ref="B7:B8"/>
    <mergeCell ref="D7:F7"/>
    <mergeCell ref="A4:G4"/>
    <mergeCell ref="C7:C8"/>
    <mergeCell ref="A6:G6"/>
    <mergeCell ref="A7:A8"/>
    <mergeCell ref="A101:G101"/>
    <mergeCell ref="A102:A103"/>
    <mergeCell ref="B102:B103"/>
    <mergeCell ref="C102:C103"/>
    <mergeCell ref="D102:F102"/>
    <mergeCell ref="A116:G116"/>
    <mergeCell ref="A117:A118"/>
    <mergeCell ref="B117:B118"/>
    <mergeCell ref="C117:C118"/>
    <mergeCell ref="D117:F117"/>
    <mergeCell ref="A125:G125"/>
    <mergeCell ref="A126:A127"/>
    <mergeCell ref="B126:B127"/>
    <mergeCell ref="C126:C127"/>
    <mergeCell ref="D126:F126"/>
    <mergeCell ref="A131:G131"/>
    <mergeCell ref="A132:A133"/>
    <mergeCell ref="B132:B133"/>
    <mergeCell ref="C132:C133"/>
    <mergeCell ref="D132:F132"/>
    <mergeCell ref="A137:G137"/>
    <mergeCell ref="A138:A139"/>
    <mergeCell ref="B138:B139"/>
    <mergeCell ref="C138:C139"/>
    <mergeCell ref="D138:F138"/>
    <mergeCell ref="A159:G159"/>
    <mergeCell ref="A160:A161"/>
    <mergeCell ref="B160:B161"/>
    <mergeCell ref="C160:C161"/>
    <mergeCell ref="D160:F160"/>
    <mergeCell ref="A166:G166"/>
    <mergeCell ref="A167:A168"/>
    <mergeCell ref="B167:B168"/>
    <mergeCell ref="C167:C168"/>
    <mergeCell ref="D167:F167"/>
  </mergeCells>
  <conditionalFormatting sqref="B7">
    <cfRule type="duplicateValues" dxfId="73" priority="121"/>
    <cfRule type="duplicateValues" dxfId="72" priority="122"/>
    <cfRule type="duplicateValues" dxfId="71" priority="123"/>
  </conditionalFormatting>
  <conditionalFormatting sqref="B9:B49">
    <cfRule type="duplicateValues" dxfId="70" priority="57"/>
  </conditionalFormatting>
  <conditionalFormatting sqref="B53">
    <cfRule type="duplicateValues" dxfId="69" priority="53"/>
    <cfRule type="duplicateValues" dxfId="68" priority="54"/>
    <cfRule type="duplicateValues" dxfId="67" priority="55"/>
  </conditionalFormatting>
  <conditionalFormatting sqref="B55:B99">
    <cfRule type="duplicateValues" dxfId="66" priority="124"/>
  </conditionalFormatting>
  <conditionalFormatting sqref="B102">
    <cfRule type="duplicateValues" dxfId="65" priority="47"/>
    <cfRule type="duplicateValues" dxfId="64" priority="48"/>
    <cfRule type="duplicateValues" dxfId="63" priority="49"/>
  </conditionalFormatting>
  <conditionalFormatting sqref="B104:B107">
    <cfRule type="duplicateValues" dxfId="62" priority="46"/>
  </conditionalFormatting>
  <conditionalFormatting sqref="B108:B112">
    <cfRule type="duplicateValues" dxfId="61" priority="45"/>
  </conditionalFormatting>
  <conditionalFormatting sqref="B113">
    <cfRule type="duplicateValues" dxfId="60" priority="1"/>
  </conditionalFormatting>
  <conditionalFormatting sqref="B117">
    <cfRule type="duplicateValues" dxfId="59" priority="39"/>
    <cfRule type="duplicateValues" dxfId="58" priority="40"/>
    <cfRule type="duplicateValues" dxfId="57" priority="41"/>
  </conditionalFormatting>
  <conditionalFormatting sqref="B119:B122">
    <cfRule type="duplicateValues" dxfId="56" priority="37"/>
  </conditionalFormatting>
  <conditionalFormatting sqref="B126">
    <cfRule type="duplicateValues" dxfId="55" priority="33"/>
    <cfRule type="duplicateValues" dxfId="54" priority="34"/>
    <cfRule type="duplicateValues" dxfId="53" priority="35"/>
  </conditionalFormatting>
  <conditionalFormatting sqref="B128">
    <cfRule type="duplicateValues" dxfId="52" priority="36"/>
  </conditionalFormatting>
  <conditionalFormatting sqref="B132">
    <cfRule type="duplicateValues" dxfId="51" priority="30"/>
    <cfRule type="duplicateValues" dxfId="50" priority="31"/>
    <cfRule type="duplicateValues" dxfId="49" priority="32"/>
  </conditionalFormatting>
  <conditionalFormatting sqref="B134">
    <cfRule type="duplicateValues" dxfId="48" priority="29"/>
  </conditionalFormatting>
  <conditionalFormatting sqref="B138">
    <cfRule type="duplicateValues" dxfId="47" priority="25"/>
    <cfRule type="duplicateValues" dxfId="46" priority="26"/>
    <cfRule type="duplicateValues" dxfId="45" priority="27"/>
  </conditionalFormatting>
  <conditionalFormatting sqref="B140:B142">
    <cfRule type="duplicateValues" dxfId="44" priority="28"/>
  </conditionalFormatting>
  <conditionalFormatting sqref="B144">
    <cfRule type="duplicateValues" dxfId="43" priority="125"/>
  </conditionalFormatting>
  <conditionalFormatting sqref="B145:B156">
    <cfRule type="duplicateValues" dxfId="42" priority="134"/>
  </conditionalFormatting>
  <conditionalFormatting sqref="B160">
    <cfRule type="duplicateValues" dxfId="41" priority="21"/>
    <cfRule type="duplicateValues" dxfId="40" priority="22"/>
    <cfRule type="duplicateValues" dxfId="39" priority="23"/>
  </conditionalFormatting>
  <conditionalFormatting sqref="B162:B163">
    <cfRule type="duplicateValues" dxfId="38" priority="19"/>
    <cfRule type="duplicateValues" dxfId="37" priority="20"/>
  </conditionalFormatting>
  <conditionalFormatting sqref="B167">
    <cfRule type="duplicateValues" dxfId="36" priority="15"/>
    <cfRule type="duplicateValues" dxfId="35" priority="16"/>
    <cfRule type="duplicateValues" dxfId="34" priority="17"/>
  </conditionalFormatting>
  <conditionalFormatting sqref="B169:B170">
    <cfRule type="duplicateValues" dxfId="33" priority="18"/>
  </conditionalFormatting>
  <conditionalFormatting sqref="B171">
    <cfRule type="duplicateValues" dxfId="32" priority="14"/>
  </conditionalFormatting>
  <conditionalFormatting sqref="C7:C49">
    <cfRule type="duplicateValues" dxfId="31" priority="10"/>
  </conditionalFormatting>
  <conditionalFormatting sqref="C9:C49">
    <cfRule type="duplicateValues" dxfId="30" priority="7"/>
  </conditionalFormatting>
  <conditionalFormatting sqref="C53:C98">
    <cfRule type="duplicateValues" dxfId="29" priority="43"/>
  </conditionalFormatting>
  <conditionalFormatting sqref="C104:C112">
    <cfRule type="duplicateValues" dxfId="28" priority="12"/>
  </conditionalFormatting>
  <conditionalFormatting sqref="C117:C122">
    <cfRule type="duplicateValues" dxfId="27" priority="11"/>
  </conditionalFormatting>
  <conditionalFormatting sqref="C138:C156">
    <cfRule type="duplicateValues" dxfId="26" priority="135"/>
  </conditionalFormatting>
  <printOptions horizontalCentered="1"/>
  <pageMargins left="0.51181102362204722" right="0.51181102362204722" top="0.87" bottom="0.85" header="0.83" footer="0.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showGridLines="0" topLeftCell="A7" zoomScale="90" zoomScaleNormal="90" workbookViewId="0">
      <selection activeCell="H37" sqref="H37"/>
    </sheetView>
  </sheetViews>
  <sheetFormatPr baseColWidth="10" defaultColWidth="10.7109375" defaultRowHeight="15" x14ac:dyDescent="0.25"/>
  <cols>
    <col min="1" max="1" width="3.140625" bestFit="1" customWidth="1"/>
    <col min="2" max="2" width="37.140625" style="10" customWidth="1"/>
    <col min="3" max="3" width="14.85546875" customWidth="1"/>
    <col min="4" max="4" width="6.42578125" customWidth="1"/>
    <col min="5" max="5" width="7.5703125" customWidth="1"/>
    <col min="6" max="6" width="5.7109375" bestFit="1" customWidth="1"/>
    <col min="7" max="7" width="76.5703125" style="73" bestFit="1" customWidth="1"/>
  </cols>
  <sheetData>
    <row r="1" spans="1:7" ht="36" customHeight="1" x14ac:dyDescent="0.25">
      <c r="A1" s="82" t="s">
        <v>9</v>
      </c>
      <c r="B1" s="82"/>
      <c r="C1" s="82"/>
      <c r="D1" s="82"/>
      <c r="E1" s="82"/>
      <c r="F1" s="82"/>
      <c r="G1" s="82"/>
    </row>
    <row r="2" spans="1:7" ht="15" customHeight="1" x14ac:dyDescent="0.25">
      <c r="A2" s="2"/>
      <c r="B2" s="2"/>
      <c r="C2" s="2"/>
      <c r="D2" s="2"/>
      <c r="E2" s="2"/>
      <c r="F2" s="2"/>
      <c r="G2" s="69"/>
    </row>
    <row r="3" spans="1:7" s="7" customFormat="1" ht="18" customHeight="1" x14ac:dyDescent="0.35">
      <c r="A3" s="81" t="s">
        <v>11</v>
      </c>
      <c r="B3" s="81"/>
      <c r="C3" s="81"/>
      <c r="D3" s="81"/>
      <c r="E3" s="81"/>
      <c r="F3" s="81"/>
      <c r="G3" s="81"/>
    </row>
    <row r="4" spans="1:7" s="7" customFormat="1" ht="19.5" customHeight="1" x14ac:dyDescent="0.3">
      <c r="A4" s="6"/>
      <c r="B4" s="37"/>
      <c r="C4" s="6"/>
      <c r="D4" s="6"/>
      <c r="E4" s="6"/>
      <c r="F4" s="6"/>
      <c r="G4" s="70"/>
    </row>
    <row r="5" spans="1:7" s="7" customFormat="1" ht="23.25" customHeight="1" x14ac:dyDescent="0.35">
      <c r="A5" s="83" t="s">
        <v>12</v>
      </c>
      <c r="B5" s="83"/>
      <c r="C5" s="83"/>
      <c r="D5" s="83"/>
      <c r="E5" s="83"/>
      <c r="F5" s="83"/>
      <c r="G5" s="83"/>
    </row>
    <row r="6" spans="1:7" s="7" customFormat="1" ht="9" customHeight="1" x14ac:dyDescent="0.3">
      <c r="B6" s="44"/>
      <c r="G6" s="71"/>
    </row>
    <row r="7" spans="1:7" s="7" customFormat="1" ht="17.25" customHeight="1" x14ac:dyDescent="0.3">
      <c r="A7" s="5"/>
      <c r="B7" s="5"/>
      <c r="C7" s="5"/>
      <c r="D7" s="5"/>
      <c r="E7" s="5"/>
      <c r="F7" s="5"/>
      <c r="G7" s="72"/>
    </row>
    <row r="8" spans="1:7" ht="24.95" customHeight="1" x14ac:dyDescent="0.25">
      <c r="A8" s="1"/>
    </row>
    <row r="9" spans="1:7" ht="24.95" customHeight="1" x14ac:dyDescent="0.25">
      <c r="A9" s="75" t="s">
        <v>10</v>
      </c>
      <c r="B9" s="75"/>
      <c r="C9" s="75"/>
      <c r="D9" s="75"/>
      <c r="E9" s="75"/>
      <c r="F9" s="75"/>
      <c r="G9" s="75"/>
    </row>
    <row r="10" spans="1:7" ht="24.95" customHeight="1" x14ac:dyDescent="0.25">
      <c r="A10" s="76" t="s">
        <v>3</v>
      </c>
      <c r="B10" s="77" t="s">
        <v>4</v>
      </c>
      <c r="C10" s="78" t="s">
        <v>7</v>
      </c>
      <c r="D10" s="80" t="s">
        <v>5</v>
      </c>
      <c r="E10" s="80"/>
      <c r="F10" s="80"/>
      <c r="G10" s="84" t="s">
        <v>230</v>
      </c>
    </row>
    <row r="11" spans="1:7" x14ac:dyDescent="0.25">
      <c r="A11" s="76"/>
      <c r="B11" s="77"/>
      <c r="C11" s="79"/>
      <c r="D11" s="3" t="s">
        <v>0</v>
      </c>
      <c r="E11" s="3" t="s">
        <v>1</v>
      </c>
      <c r="F11" s="3" t="s">
        <v>2</v>
      </c>
      <c r="G11" s="85"/>
    </row>
    <row r="12" spans="1:7" ht="26.25" x14ac:dyDescent="0.25">
      <c r="A12" s="25">
        <v>1</v>
      </c>
      <c r="B12" s="56" t="s">
        <v>57</v>
      </c>
      <c r="C12" s="22">
        <v>44256</v>
      </c>
      <c r="D12" s="12">
        <v>1</v>
      </c>
      <c r="E12" s="12">
        <v>3</v>
      </c>
      <c r="F12" s="12">
        <v>0</v>
      </c>
      <c r="G12" s="18" t="s">
        <v>80</v>
      </c>
    </row>
    <row r="13" spans="1:7" ht="38.25" x14ac:dyDescent="0.25">
      <c r="A13" s="25">
        <v>2</v>
      </c>
      <c r="B13" s="56" t="s">
        <v>58</v>
      </c>
      <c r="C13" s="22">
        <v>43958</v>
      </c>
      <c r="D13" s="12">
        <v>1</v>
      </c>
      <c r="E13" s="12">
        <v>10</v>
      </c>
      <c r="F13" s="12">
        <v>24</v>
      </c>
      <c r="G13" s="16" t="s">
        <v>81</v>
      </c>
    </row>
    <row r="14" spans="1:7" ht="38.25" x14ac:dyDescent="0.25">
      <c r="A14" s="25">
        <v>3</v>
      </c>
      <c r="B14" s="56" t="s">
        <v>61</v>
      </c>
      <c r="C14" s="22">
        <v>44229</v>
      </c>
      <c r="D14" s="12">
        <v>1</v>
      </c>
      <c r="E14" s="12">
        <v>1</v>
      </c>
      <c r="F14" s="12">
        <v>29</v>
      </c>
      <c r="G14" s="16" t="s">
        <v>82</v>
      </c>
    </row>
    <row r="15" spans="1:7" x14ac:dyDescent="0.25">
      <c r="A15" s="25">
        <v>4</v>
      </c>
      <c r="B15" s="56" t="s">
        <v>62</v>
      </c>
      <c r="C15" s="22">
        <v>43932</v>
      </c>
      <c r="D15" s="12">
        <v>2</v>
      </c>
      <c r="E15" s="12">
        <v>3</v>
      </c>
      <c r="F15" s="12">
        <v>22</v>
      </c>
      <c r="G15" s="16" t="s">
        <v>83</v>
      </c>
    </row>
    <row r="16" spans="1:7" ht="30" x14ac:dyDescent="0.25">
      <c r="A16" s="25">
        <v>5</v>
      </c>
      <c r="B16" s="56" t="s">
        <v>64</v>
      </c>
      <c r="C16" s="22">
        <v>44364</v>
      </c>
      <c r="D16" s="12">
        <v>0</v>
      </c>
      <c r="E16" s="12">
        <v>8</v>
      </c>
      <c r="F16" s="12">
        <v>11</v>
      </c>
      <c r="G16" s="74" t="s">
        <v>84</v>
      </c>
    </row>
    <row r="17" spans="1:7" x14ac:dyDescent="0.25">
      <c r="A17" s="25">
        <v>6</v>
      </c>
      <c r="B17" s="61" t="s">
        <v>65</v>
      </c>
      <c r="C17" s="22">
        <v>43978</v>
      </c>
      <c r="D17" s="12">
        <v>1</v>
      </c>
      <c r="E17" s="12">
        <v>9</v>
      </c>
      <c r="F17" s="12">
        <v>1</v>
      </c>
      <c r="G17" s="19" t="s">
        <v>232</v>
      </c>
    </row>
    <row r="18" spans="1:7" ht="38.25" x14ac:dyDescent="0.25">
      <c r="A18" s="25">
        <v>7</v>
      </c>
      <c r="B18" s="56" t="s">
        <v>66</v>
      </c>
      <c r="C18" s="22">
        <v>44273</v>
      </c>
      <c r="D18" s="12">
        <v>1</v>
      </c>
      <c r="E18" s="12">
        <v>0</v>
      </c>
      <c r="F18" s="12">
        <v>13</v>
      </c>
      <c r="G18" s="20" t="s">
        <v>67</v>
      </c>
    </row>
    <row r="19" spans="1:7" x14ac:dyDescent="0.25">
      <c r="A19" s="25">
        <v>8</v>
      </c>
      <c r="B19" s="56" t="s">
        <v>68</v>
      </c>
      <c r="C19" s="22">
        <v>44256</v>
      </c>
      <c r="D19" s="12">
        <v>1</v>
      </c>
      <c r="E19" s="12">
        <v>5</v>
      </c>
      <c r="F19" s="12">
        <v>0</v>
      </c>
      <c r="G19" s="21" t="s">
        <v>69</v>
      </c>
    </row>
    <row r="20" spans="1:7" x14ac:dyDescent="0.25">
      <c r="A20" s="25">
        <v>9</v>
      </c>
      <c r="B20" s="56" t="s">
        <v>70</v>
      </c>
      <c r="C20" s="23">
        <v>44273</v>
      </c>
      <c r="D20" s="12">
        <v>1</v>
      </c>
      <c r="E20" s="12">
        <v>1</v>
      </c>
      <c r="F20" s="12">
        <v>14</v>
      </c>
      <c r="G20" s="18" t="s">
        <v>85</v>
      </c>
    </row>
    <row r="21" spans="1:7" ht="25.5" x14ac:dyDescent="0.25">
      <c r="A21" s="25">
        <v>10</v>
      </c>
      <c r="B21" s="56" t="s">
        <v>71</v>
      </c>
      <c r="C21" s="24">
        <v>43981</v>
      </c>
      <c r="D21" s="14">
        <v>1</v>
      </c>
      <c r="E21" s="14">
        <v>10</v>
      </c>
      <c r="F21" s="14">
        <v>1</v>
      </c>
      <c r="G21" s="16" t="s">
        <v>86</v>
      </c>
    </row>
    <row r="22" spans="1:7" x14ac:dyDescent="0.25">
      <c r="A22" s="25">
        <v>11</v>
      </c>
      <c r="B22" s="56" t="s">
        <v>72</v>
      </c>
      <c r="C22" s="24">
        <v>44004</v>
      </c>
      <c r="D22" s="14">
        <v>1</v>
      </c>
      <c r="E22" s="14">
        <v>7</v>
      </c>
      <c r="F22" s="14">
        <v>9</v>
      </c>
      <c r="G22" s="18" t="s">
        <v>85</v>
      </c>
    </row>
    <row r="23" spans="1:7" ht="26.25" x14ac:dyDescent="0.25">
      <c r="A23" s="25">
        <v>12</v>
      </c>
      <c r="B23" s="56" t="s">
        <v>73</v>
      </c>
      <c r="C23" s="24">
        <v>44298</v>
      </c>
      <c r="D23" s="14">
        <v>0</v>
      </c>
      <c r="E23" s="14">
        <v>11</v>
      </c>
      <c r="F23" s="14">
        <v>6</v>
      </c>
      <c r="G23" s="18" t="s">
        <v>87</v>
      </c>
    </row>
    <row r="24" spans="1:7" ht="25.5" x14ac:dyDescent="0.25">
      <c r="A24" s="25">
        <v>13</v>
      </c>
      <c r="B24" s="56" t="s">
        <v>74</v>
      </c>
      <c r="C24" s="23">
        <v>44342</v>
      </c>
      <c r="D24" s="14">
        <v>1</v>
      </c>
      <c r="E24" s="14">
        <v>5</v>
      </c>
      <c r="F24" s="14">
        <v>5</v>
      </c>
      <c r="G24" s="16" t="s">
        <v>75</v>
      </c>
    </row>
    <row r="25" spans="1:7" ht="25.5" x14ac:dyDescent="0.25">
      <c r="A25" s="25">
        <v>14</v>
      </c>
      <c r="B25" s="56" t="s">
        <v>76</v>
      </c>
      <c r="C25" s="23">
        <v>44278</v>
      </c>
      <c r="D25" s="14">
        <v>1</v>
      </c>
      <c r="E25" s="14">
        <v>0</v>
      </c>
      <c r="F25" s="14">
        <v>8</v>
      </c>
      <c r="G25" s="16" t="s">
        <v>88</v>
      </c>
    </row>
    <row r="26" spans="1:7" x14ac:dyDescent="0.25">
      <c r="A26" s="25">
        <v>15</v>
      </c>
      <c r="B26" s="56" t="s">
        <v>79</v>
      </c>
      <c r="C26" s="24">
        <v>44225</v>
      </c>
      <c r="D26" s="14">
        <v>1</v>
      </c>
      <c r="E26" s="14">
        <v>1</v>
      </c>
      <c r="F26" s="14">
        <v>1</v>
      </c>
      <c r="G26" s="18" t="s">
        <v>89</v>
      </c>
    </row>
    <row r="27" spans="1:7" x14ac:dyDescent="0.25">
      <c r="A27" s="25">
        <v>16</v>
      </c>
      <c r="B27" s="56" t="s">
        <v>15</v>
      </c>
      <c r="C27" s="24">
        <v>43958</v>
      </c>
      <c r="D27" s="14">
        <v>1</v>
      </c>
      <c r="E27" s="14">
        <v>10</v>
      </c>
      <c r="F27" s="14">
        <v>24</v>
      </c>
      <c r="G27" s="18" t="s">
        <v>231</v>
      </c>
    </row>
    <row r="28" spans="1:7" x14ac:dyDescent="0.25">
      <c r="A28" s="25">
        <v>17</v>
      </c>
      <c r="B28" s="56" t="s">
        <v>17</v>
      </c>
      <c r="C28" s="24">
        <v>44001</v>
      </c>
      <c r="D28" s="14">
        <v>1</v>
      </c>
      <c r="E28" s="14">
        <v>9</v>
      </c>
      <c r="F28" s="14">
        <v>12</v>
      </c>
      <c r="G28" s="18" t="s">
        <v>231</v>
      </c>
    </row>
    <row r="29" spans="1:7" x14ac:dyDescent="0.25">
      <c r="A29" s="25">
        <v>18</v>
      </c>
      <c r="B29" s="56" t="s">
        <v>19</v>
      </c>
      <c r="C29" s="24">
        <v>44099</v>
      </c>
      <c r="D29" s="14">
        <v>1</v>
      </c>
      <c r="E29" s="14">
        <v>7</v>
      </c>
      <c r="F29" s="14">
        <v>5</v>
      </c>
      <c r="G29" s="18" t="s">
        <v>231</v>
      </c>
    </row>
    <row r="30" spans="1:7" x14ac:dyDescent="0.25">
      <c r="A30" s="25">
        <v>19</v>
      </c>
      <c r="B30" s="56" t="s">
        <v>23</v>
      </c>
      <c r="C30" s="24">
        <v>44228</v>
      </c>
      <c r="D30" s="14">
        <v>1</v>
      </c>
      <c r="E30" s="14">
        <v>1</v>
      </c>
      <c r="F30" s="14">
        <v>29</v>
      </c>
      <c r="G30" s="18" t="s">
        <v>231</v>
      </c>
    </row>
    <row r="31" spans="1:7" x14ac:dyDescent="0.25">
      <c r="A31" s="25">
        <v>20</v>
      </c>
      <c r="B31" s="56" t="s">
        <v>22</v>
      </c>
      <c r="C31" s="24">
        <v>44228</v>
      </c>
      <c r="D31" s="14">
        <v>1</v>
      </c>
      <c r="E31" s="14">
        <v>1</v>
      </c>
      <c r="F31" s="14">
        <v>30</v>
      </c>
      <c r="G31" s="18" t="s">
        <v>231</v>
      </c>
    </row>
    <row r="32" spans="1:7" x14ac:dyDescent="0.25">
      <c r="A32" s="25">
        <v>21</v>
      </c>
      <c r="B32" s="56" t="s">
        <v>32</v>
      </c>
      <c r="C32" s="24">
        <v>44243</v>
      </c>
      <c r="D32" s="14">
        <v>1</v>
      </c>
      <c r="E32" s="14">
        <v>1</v>
      </c>
      <c r="F32" s="14">
        <v>14</v>
      </c>
      <c r="G32" s="18" t="s">
        <v>231</v>
      </c>
    </row>
    <row r="33" spans="1:7" x14ac:dyDescent="0.25">
      <c r="A33" s="25">
        <v>22</v>
      </c>
      <c r="B33" s="56" t="s">
        <v>37</v>
      </c>
      <c r="C33" s="24">
        <v>44265</v>
      </c>
      <c r="D33" s="14">
        <v>1</v>
      </c>
      <c r="E33" s="14">
        <v>2</v>
      </c>
      <c r="F33" s="14">
        <v>21</v>
      </c>
      <c r="G33" s="18" t="s">
        <v>231</v>
      </c>
    </row>
    <row r="34" spans="1:7" x14ac:dyDescent="0.25">
      <c r="A34" s="25">
        <v>23</v>
      </c>
      <c r="B34" s="56" t="s">
        <v>41</v>
      </c>
      <c r="C34" s="24">
        <v>44268</v>
      </c>
      <c r="D34" s="14">
        <v>1</v>
      </c>
      <c r="E34" s="14">
        <v>0</v>
      </c>
      <c r="F34" s="14">
        <v>18</v>
      </c>
      <c r="G34" s="18" t="s">
        <v>231</v>
      </c>
    </row>
    <row r="37" spans="1:7" ht="18.75" x14ac:dyDescent="0.25">
      <c r="A37" s="75" t="s">
        <v>109</v>
      </c>
      <c r="B37" s="75"/>
      <c r="C37" s="75"/>
      <c r="D37" s="75"/>
      <c r="E37" s="75"/>
      <c r="F37" s="75"/>
      <c r="G37" s="75"/>
    </row>
    <row r="38" spans="1:7" x14ac:dyDescent="0.25">
      <c r="A38" s="76" t="s">
        <v>3</v>
      </c>
      <c r="B38" s="77" t="s">
        <v>4</v>
      </c>
      <c r="C38" s="78" t="s">
        <v>7</v>
      </c>
      <c r="D38" s="80" t="s">
        <v>5</v>
      </c>
      <c r="E38" s="80"/>
      <c r="F38" s="80"/>
      <c r="G38" s="84" t="s">
        <v>230</v>
      </c>
    </row>
    <row r="39" spans="1:7" x14ac:dyDescent="0.25">
      <c r="A39" s="76"/>
      <c r="B39" s="77"/>
      <c r="C39" s="79"/>
      <c r="D39" s="3" t="s">
        <v>0</v>
      </c>
      <c r="E39" s="3" t="s">
        <v>1</v>
      </c>
      <c r="F39" s="3" t="s">
        <v>2</v>
      </c>
      <c r="G39" s="85"/>
    </row>
    <row r="40" spans="1:7" x14ac:dyDescent="0.25">
      <c r="A40" s="25">
        <v>1</v>
      </c>
      <c r="B40" s="56" t="s">
        <v>117</v>
      </c>
      <c r="C40" s="13">
        <v>44321</v>
      </c>
      <c r="D40" s="14">
        <v>1</v>
      </c>
      <c r="E40" s="14">
        <v>2</v>
      </c>
      <c r="F40" s="14">
        <v>26</v>
      </c>
      <c r="G40" s="12" t="s">
        <v>118</v>
      </c>
    </row>
    <row r="41" spans="1:7" ht="39" x14ac:dyDescent="0.25">
      <c r="A41" s="25">
        <v>2</v>
      </c>
      <c r="B41" s="56" t="s">
        <v>119</v>
      </c>
      <c r="C41" s="13">
        <v>43937</v>
      </c>
      <c r="D41" s="12">
        <v>0</v>
      </c>
      <c r="E41" s="12">
        <v>7</v>
      </c>
      <c r="F41" s="12">
        <v>21</v>
      </c>
      <c r="G41" s="17" t="s">
        <v>120</v>
      </c>
    </row>
    <row r="42" spans="1:7" x14ac:dyDescent="0.25">
      <c r="A42" s="25">
        <v>3</v>
      </c>
      <c r="B42" s="56" t="s">
        <v>121</v>
      </c>
      <c r="C42" s="13">
        <v>43963</v>
      </c>
      <c r="D42" s="14">
        <v>1</v>
      </c>
      <c r="E42" s="14">
        <v>10</v>
      </c>
      <c r="F42" s="14"/>
      <c r="G42" s="12" t="s">
        <v>118</v>
      </c>
    </row>
    <row r="43" spans="1:7" x14ac:dyDescent="0.25">
      <c r="A43" s="25">
        <v>4</v>
      </c>
      <c r="B43" s="56" t="s">
        <v>122</v>
      </c>
      <c r="C43" s="13">
        <v>44083</v>
      </c>
      <c r="D43" s="14">
        <v>1</v>
      </c>
      <c r="E43" s="14">
        <v>8</v>
      </c>
      <c r="F43" s="14">
        <v>22</v>
      </c>
      <c r="G43" s="12" t="s">
        <v>111</v>
      </c>
    </row>
    <row r="44" spans="1:7" x14ac:dyDescent="0.25">
      <c r="A44" s="25">
        <v>5</v>
      </c>
      <c r="B44" s="56" t="s">
        <v>123</v>
      </c>
      <c r="C44" s="13">
        <v>44284</v>
      </c>
      <c r="D44" s="14">
        <v>1</v>
      </c>
      <c r="E44" s="14"/>
      <c r="F44" s="14">
        <v>2</v>
      </c>
      <c r="G44" s="12" t="s">
        <v>69</v>
      </c>
    </row>
    <row r="45" spans="1:7" x14ac:dyDescent="0.25">
      <c r="A45" s="25">
        <v>6</v>
      </c>
      <c r="B45" s="56" t="s">
        <v>124</v>
      </c>
      <c r="C45" s="13">
        <v>44035</v>
      </c>
      <c r="D45" s="14">
        <v>1</v>
      </c>
      <c r="E45" s="14">
        <v>1</v>
      </c>
      <c r="F45" s="14">
        <v>9</v>
      </c>
      <c r="G45" s="12" t="s">
        <v>125</v>
      </c>
    </row>
    <row r="46" spans="1:7" x14ac:dyDescent="0.25">
      <c r="A46" s="25">
        <v>7</v>
      </c>
      <c r="B46" s="56" t="s">
        <v>126</v>
      </c>
      <c r="C46" s="13">
        <v>44228</v>
      </c>
      <c r="D46" s="14">
        <v>1</v>
      </c>
      <c r="E46" s="14">
        <v>8</v>
      </c>
      <c r="F46" s="14">
        <v>30</v>
      </c>
      <c r="G46" s="12" t="s">
        <v>118</v>
      </c>
    </row>
    <row r="47" spans="1:7" x14ac:dyDescent="0.25">
      <c r="A47" s="25">
        <v>8</v>
      </c>
      <c r="B47" s="56" t="s">
        <v>127</v>
      </c>
      <c r="C47" s="13">
        <v>44229</v>
      </c>
      <c r="D47" s="14">
        <v>1</v>
      </c>
      <c r="E47" s="14">
        <v>0</v>
      </c>
      <c r="F47" s="14">
        <v>26</v>
      </c>
      <c r="G47" s="12" t="s">
        <v>118</v>
      </c>
    </row>
    <row r="48" spans="1:7" x14ac:dyDescent="0.25">
      <c r="A48" s="25">
        <v>9</v>
      </c>
      <c r="B48" s="56" t="s">
        <v>128</v>
      </c>
      <c r="C48" s="13">
        <v>44243</v>
      </c>
      <c r="D48" s="14">
        <v>1</v>
      </c>
      <c r="E48" s="14">
        <v>5</v>
      </c>
      <c r="F48" s="14">
        <v>15</v>
      </c>
      <c r="G48" s="12" t="s">
        <v>116</v>
      </c>
    </row>
    <row r="49" spans="1:7" x14ac:dyDescent="0.25">
      <c r="A49" s="25">
        <v>10</v>
      </c>
      <c r="B49" s="56" t="s">
        <v>159</v>
      </c>
      <c r="C49" s="13">
        <v>44232</v>
      </c>
      <c r="D49" s="14">
        <v>1</v>
      </c>
      <c r="E49" s="14">
        <v>1</v>
      </c>
      <c r="F49" s="14">
        <v>26</v>
      </c>
      <c r="G49" s="12" t="s">
        <v>173</v>
      </c>
    </row>
    <row r="50" spans="1:7" x14ac:dyDescent="0.25">
      <c r="A50" s="25">
        <v>11</v>
      </c>
      <c r="B50" s="56" t="s">
        <v>161</v>
      </c>
      <c r="C50" s="13">
        <v>44033</v>
      </c>
      <c r="D50" s="14">
        <v>1</v>
      </c>
      <c r="E50" s="14">
        <v>8</v>
      </c>
      <c r="F50" s="14">
        <v>10</v>
      </c>
      <c r="G50" s="12" t="s">
        <v>174</v>
      </c>
    </row>
    <row r="51" spans="1:7" x14ac:dyDescent="0.25">
      <c r="A51" s="25">
        <v>12</v>
      </c>
      <c r="B51" s="56" t="s">
        <v>162</v>
      </c>
      <c r="C51" s="13">
        <v>44033</v>
      </c>
      <c r="D51" s="14"/>
      <c r="E51" s="14"/>
      <c r="F51" s="14"/>
      <c r="G51" s="12" t="s">
        <v>173</v>
      </c>
    </row>
    <row r="52" spans="1:7" x14ac:dyDescent="0.25">
      <c r="A52" s="25">
        <v>13</v>
      </c>
      <c r="B52" s="56" t="s">
        <v>163</v>
      </c>
      <c r="C52" s="13">
        <v>43993</v>
      </c>
      <c r="D52" s="14">
        <v>1</v>
      </c>
      <c r="E52" s="14">
        <v>9</v>
      </c>
      <c r="F52" s="14">
        <v>20</v>
      </c>
      <c r="G52" s="12" t="s">
        <v>174</v>
      </c>
    </row>
    <row r="53" spans="1:7" x14ac:dyDescent="0.25">
      <c r="A53" s="25">
        <v>14</v>
      </c>
      <c r="B53" s="56" t="s">
        <v>166</v>
      </c>
      <c r="C53" s="13">
        <v>44244</v>
      </c>
      <c r="D53" s="14">
        <v>1</v>
      </c>
      <c r="E53" s="14">
        <v>4</v>
      </c>
      <c r="F53" s="14">
        <v>13</v>
      </c>
      <c r="G53" s="12" t="s">
        <v>172</v>
      </c>
    </row>
    <row r="54" spans="1:7" x14ac:dyDescent="0.25">
      <c r="A54" s="25">
        <v>15</v>
      </c>
      <c r="B54" s="56" t="s">
        <v>167</v>
      </c>
      <c r="C54" s="13">
        <v>44005</v>
      </c>
      <c r="D54" s="14">
        <v>1</v>
      </c>
      <c r="E54" s="14">
        <v>9</v>
      </c>
      <c r="F54" s="14">
        <v>8</v>
      </c>
      <c r="G54" s="12" t="s">
        <v>174</v>
      </c>
    </row>
    <row r="55" spans="1:7" x14ac:dyDescent="0.25">
      <c r="A55" s="25">
        <v>16</v>
      </c>
      <c r="B55" s="56" t="s">
        <v>170</v>
      </c>
      <c r="C55" s="13">
        <v>44246</v>
      </c>
      <c r="D55" s="14">
        <v>1</v>
      </c>
      <c r="E55" s="14">
        <v>1</v>
      </c>
      <c r="F55" s="14">
        <v>12</v>
      </c>
      <c r="G55" s="12" t="s">
        <v>174</v>
      </c>
    </row>
    <row r="56" spans="1:7" x14ac:dyDescent="0.25">
      <c r="A56" s="25">
        <v>17</v>
      </c>
      <c r="B56" s="43" t="s">
        <v>171</v>
      </c>
      <c r="C56" s="13">
        <v>43934</v>
      </c>
      <c r="D56" s="25">
        <v>1</v>
      </c>
      <c r="E56" s="25">
        <v>10</v>
      </c>
      <c r="F56" s="25">
        <v>15</v>
      </c>
      <c r="G56" s="21" t="s">
        <v>175</v>
      </c>
    </row>
    <row r="57" spans="1:7" x14ac:dyDescent="0.25">
      <c r="A57" s="25">
        <v>18</v>
      </c>
      <c r="B57" s="43" t="s">
        <v>155</v>
      </c>
      <c r="C57" s="13">
        <v>43979</v>
      </c>
      <c r="D57" s="25">
        <v>1</v>
      </c>
      <c r="E57" s="25">
        <v>10</v>
      </c>
      <c r="F57" s="25">
        <v>3</v>
      </c>
      <c r="G57" s="21" t="s">
        <v>231</v>
      </c>
    </row>
    <row r="58" spans="1:7" x14ac:dyDescent="0.25">
      <c r="C58" s="30"/>
    </row>
    <row r="60" spans="1:7" ht="18.75" customHeight="1" x14ac:dyDescent="0.25">
      <c r="A60" s="75" t="s">
        <v>129</v>
      </c>
      <c r="B60" s="75"/>
      <c r="C60" s="75"/>
      <c r="D60" s="75"/>
      <c r="E60" s="75"/>
      <c r="F60" s="75"/>
      <c r="G60" s="75"/>
    </row>
    <row r="61" spans="1:7" x14ac:dyDescent="0.25">
      <c r="A61" s="76" t="s">
        <v>3</v>
      </c>
      <c r="B61" s="77" t="s">
        <v>4</v>
      </c>
      <c r="C61" s="78" t="s">
        <v>7</v>
      </c>
      <c r="D61" s="80" t="s">
        <v>5</v>
      </c>
      <c r="E61" s="80"/>
      <c r="F61" s="80"/>
      <c r="G61" s="84" t="s">
        <v>230</v>
      </c>
    </row>
    <row r="62" spans="1:7" x14ac:dyDescent="0.25">
      <c r="A62" s="76"/>
      <c r="B62" s="78"/>
      <c r="C62" s="86"/>
      <c r="D62" s="26" t="s">
        <v>0</v>
      </c>
      <c r="E62" s="26" t="s">
        <v>1</v>
      </c>
      <c r="F62" s="26" t="s">
        <v>2</v>
      </c>
      <c r="G62" s="85"/>
    </row>
    <row r="64" spans="1:7" ht="26.25" x14ac:dyDescent="0.25">
      <c r="A64" s="27">
        <v>2</v>
      </c>
      <c r="B64" s="65" t="s">
        <v>139</v>
      </c>
      <c r="C64" s="22">
        <v>44028</v>
      </c>
      <c r="D64" s="12">
        <v>1</v>
      </c>
      <c r="E64" s="12">
        <v>0</v>
      </c>
      <c r="F64" s="12">
        <v>19</v>
      </c>
      <c r="G64" s="18" t="s">
        <v>138</v>
      </c>
    </row>
    <row r="65" spans="1:7" x14ac:dyDescent="0.25">
      <c r="A65" s="28">
        <v>3</v>
      </c>
      <c r="B65" s="66" t="s">
        <v>140</v>
      </c>
      <c r="C65" s="29">
        <v>44256</v>
      </c>
      <c r="D65" s="21">
        <v>1</v>
      </c>
      <c r="E65" s="21">
        <v>1</v>
      </c>
      <c r="F65" s="21">
        <v>2</v>
      </c>
      <c r="G65" s="18" t="s">
        <v>141</v>
      </c>
    </row>
    <row r="66" spans="1:7" x14ac:dyDescent="0.25">
      <c r="A66" s="28">
        <v>4</v>
      </c>
      <c r="B66" s="66" t="s">
        <v>136</v>
      </c>
      <c r="C66" s="29">
        <v>44250</v>
      </c>
      <c r="D66" s="21">
        <v>1</v>
      </c>
      <c r="E66" s="21">
        <v>1</v>
      </c>
      <c r="F66" s="21">
        <v>7</v>
      </c>
      <c r="G66" s="18" t="s">
        <v>231</v>
      </c>
    </row>
    <row r="67" spans="1:7" x14ac:dyDescent="0.25">
      <c r="B67"/>
      <c r="G67"/>
    </row>
    <row r="69" spans="1:7" ht="18.75" customHeight="1" x14ac:dyDescent="0.25">
      <c r="A69" s="75" t="s">
        <v>179</v>
      </c>
      <c r="B69" s="75"/>
      <c r="C69" s="75"/>
      <c r="D69" s="75"/>
      <c r="E69" s="75"/>
      <c r="F69" s="75"/>
      <c r="G69" s="75"/>
    </row>
    <row r="70" spans="1:7" x14ac:dyDescent="0.25">
      <c r="A70" s="76" t="s">
        <v>3</v>
      </c>
      <c r="B70" s="77" t="s">
        <v>4</v>
      </c>
      <c r="C70" s="78" t="s">
        <v>7</v>
      </c>
      <c r="D70" s="80" t="s">
        <v>5</v>
      </c>
      <c r="E70" s="80"/>
      <c r="F70" s="80"/>
      <c r="G70" s="84" t="s">
        <v>230</v>
      </c>
    </row>
    <row r="71" spans="1:7" x14ac:dyDescent="0.25">
      <c r="A71" s="76"/>
      <c r="B71" s="77"/>
      <c r="C71" s="79"/>
      <c r="D71" s="3" t="s">
        <v>0</v>
      </c>
      <c r="E71" s="3" t="s">
        <v>1</v>
      </c>
      <c r="F71" s="3" t="s">
        <v>2</v>
      </c>
      <c r="G71" s="85"/>
    </row>
    <row r="72" spans="1:7" x14ac:dyDescent="0.25">
      <c r="A72" s="25">
        <v>1</v>
      </c>
      <c r="B72" s="64" t="s">
        <v>186</v>
      </c>
      <c r="C72" s="15">
        <v>44239</v>
      </c>
      <c r="D72" s="31">
        <v>1</v>
      </c>
      <c r="E72" s="31">
        <v>5</v>
      </c>
      <c r="F72" s="31">
        <v>20</v>
      </c>
      <c r="G72" s="18" t="s">
        <v>187</v>
      </c>
    </row>
    <row r="73" spans="1:7" x14ac:dyDescent="0.25">
      <c r="A73" s="25">
        <v>2</v>
      </c>
      <c r="B73" s="64" t="s">
        <v>188</v>
      </c>
      <c r="C73" s="15">
        <v>44256</v>
      </c>
      <c r="D73" s="31">
        <v>1</v>
      </c>
      <c r="E73" s="31">
        <v>5</v>
      </c>
      <c r="F73" s="31">
        <v>3</v>
      </c>
      <c r="G73" s="18" t="s">
        <v>189</v>
      </c>
    </row>
    <row r="76" spans="1:7" ht="18.75" customHeight="1" x14ac:dyDescent="0.25">
      <c r="A76" s="75" t="s">
        <v>192</v>
      </c>
      <c r="B76" s="75"/>
      <c r="C76" s="75"/>
      <c r="D76" s="75"/>
      <c r="E76" s="75"/>
      <c r="F76" s="75"/>
      <c r="G76" s="75"/>
    </row>
    <row r="77" spans="1:7" x14ac:dyDescent="0.25">
      <c r="A77" s="76" t="s">
        <v>3</v>
      </c>
      <c r="B77" s="77" t="s">
        <v>4</v>
      </c>
      <c r="C77" s="78" t="s">
        <v>7</v>
      </c>
      <c r="D77" s="80" t="s">
        <v>5</v>
      </c>
      <c r="E77" s="80"/>
      <c r="F77" s="80"/>
      <c r="G77" s="84" t="s">
        <v>230</v>
      </c>
    </row>
    <row r="78" spans="1:7" x14ac:dyDescent="0.25">
      <c r="A78" s="76"/>
      <c r="B78" s="77"/>
      <c r="C78" s="79"/>
      <c r="D78" s="3" t="s">
        <v>0</v>
      </c>
      <c r="E78" s="3" t="s">
        <v>1</v>
      </c>
      <c r="F78" s="3" t="s">
        <v>2</v>
      </c>
      <c r="G78" s="85"/>
    </row>
    <row r="79" spans="1:7" x14ac:dyDescent="0.25">
      <c r="A79" s="25">
        <v>1</v>
      </c>
      <c r="B79" s="60" t="s">
        <v>201</v>
      </c>
      <c r="C79" s="13">
        <v>43943</v>
      </c>
      <c r="D79" s="25"/>
      <c r="E79" s="25">
        <v>8</v>
      </c>
      <c r="F79" s="25">
        <v>9</v>
      </c>
      <c r="G79" s="68" t="s">
        <v>202</v>
      </c>
    </row>
    <row r="80" spans="1:7" ht="25.5" x14ac:dyDescent="0.25">
      <c r="A80" s="25">
        <v>2</v>
      </c>
      <c r="B80" s="56" t="s">
        <v>216</v>
      </c>
      <c r="C80" s="53">
        <v>44271</v>
      </c>
      <c r="D80" s="14">
        <v>1</v>
      </c>
      <c r="E80" s="14">
        <v>0</v>
      </c>
      <c r="F80" s="14">
        <v>15</v>
      </c>
      <c r="G80" s="20" t="s">
        <v>217</v>
      </c>
    </row>
    <row r="81" spans="1:7" ht="25.5" x14ac:dyDescent="0.25">
      <c r="A81" s="25">
        <v>3</v>
      </c>
      <c r="B81" s="56" t="s">
        <v>218</v>
      </c>
      <c r="C81" s="53">
        <v>44033</v>
      </c>
      <c r="D81" s="14">
        <v>1</v>
      </c>
      <c r="E81" s="14">
        <v>8</v>
      </c>
      <c r="F81" s="14">
        <v>10</v>
      </c>
      <c r="G81" s="67" t="s">
        <v>219</v>
      </c>
    </row>
    <row r="82" spans="1:7" x14ac:dyDescent="0.25">
      <c r="A82" s="25">
        <v>4</v>
      </c>
      <c r="B82" s="56" t="s">
        <v>220</v>
      </c>
      <c r="C82" s="53">
        <v>44278</v>
      </c>
      <c r="D82" s="14">
        <v>1</v>
      </c>
      <c r="E82" s="14">
        <v>3</v>
      </c>
      <c r="F82" s="14">
        <v>8</v>
      </c>
      <c r="G82" s="20" t="s">
        <v>221</v>
      </c>
    </row>
    <row r="83" spans="1:7" ht="38.25" x14ac:dyDescent="0.25">
      <c r="A83" s="25">
        <v>5</v>
      </c>
      <c r="B83" s="56" t="s">
        <v>222</v>
      </c>
      <c r="C83" s="54">
        <v>44233</v>
      </c>
      <c r="D83" s="55">
        <v>1</v>
      </c>
      <c r="E83" s="55">
        <v>0</v>
      </c>
      <c r="F83" s="55">
        <v>22</v>
      </c>
      <c r="G83" s="20" t="s">
        <v>223</v>
      </c>
    </row>
    <row r="84" spans="1:7" x14ac:dyDescent="0.25">
      <c r="A84" s="25">
        <v>6</v>
      </c>
      <c r="B84" s="56" t="s">
        <v>227</v>
      </c>
      <c r="C84" s="54">
        <v>44028</v>
      </c>
      <c r="D84" s="55">
        <v>1</v>
      </c>
      <c r="E84" s="55">
        <v>8</v>
      </c>
      <c r="F84" s="55">
        <v>15</v>
      </c>
      <c r="G84" s="20" t="s">
        <v>231</v>
      </c>
    </row>
    <row r="85" spans="1:7" x14ac:dyDescent="0.25">
      <c r="B85"/>
      <c r="G85"/>
    </row>
    <row r="87" spans="1:7" ht="18.75" customHeight="1" x14ac:dyDescent="0.25">
      <c r="A87" s="75" t="s">
        <v>210</v>
      </c>
      <c r="B87" s="75"/>
      <c r="C87" s="75"/>
      <c r="D87" s="75"/>
      <c r="E87" s="75"/>
      <c r="F87" s="75"/>
      <c r="G87" s="75"/>
    </row>
    <row r="88" spans="1:7" x14ac:dyDescent="0.25">
      <c r="A88" s="76" t="s">
        <v>3</v>
      </c>
      <c r="B88" s="77" t="s">
        <v>4</v>
      </c>
      <c r="C88" s="78" t="s">
        <v>7</v>
      </c>
      <c r="D88" s="80" t="s">
        <v>5</v>
      </c>
      <c r="E88" s="80"/>
      <c r="F88" s="80"/>
      <c r="G88" s="84" t="s">
        <v>230</v>
      </c>
    </row>
    <row r="89" spans="1:7" x14ac:dyDescent="0.25">
      <c r="A89" s="76"/>
      <c r="B89" s="77"/>
      <c r="C89" s="79"/>
      <c r="D89" s="3" t="s">
        <v>0</v>
      </c>
      <c r="E89" s="3" t="s">
        <v>1</v>
      </c>
      <c r="F89" s="3" t="s">
        <v>2</v>
      </c>
      <c r="G89" s="85"/>
    </row>
    <row r="90" spans="1:7" ht="38.25" x14ac:dyDescent="0.25">
      <c r="A90" s="8">
        <v>1</v>
      </c>
      <c r="B90" s="36" t="s">
        <v>215</v>
      </c>
      <c r="C90" s="35">
        <v>44245</v>
      </c>
      <c r="D90" s="34">
        <v>1</v>
      </c>
      <c r="E90" s="34">
        <v>1</v>
      </c>
      <c r="F90" s="34">
        <v>12</v>
      </c>
      <c r="G90" s="36" t="s">
        <v>82</v>
      </c>
    </row>
  </sheetData>
  <autoFilter ref="A39:G39" xr:uid="{00000000-0001-0000-0100-000000000000}"/>
  <mergeCells count="39">
    <mergeCell ref="A37:G37"/>
    <mergeCell ref="A38:A39"/>
    <mergeCell ref="B38:B39"/>
    <mergeCell ref="C38:C39"/>
    <mergeCell ref="D38:F38"/>
    <mergeCell ref="G38:G39"/>
    <mergeCell ref="A1:G1"/>
    <mergeCell ref="A3:G3"/>
    <mergeCell ref="A5:G5"/>
    <mergeCell ref="A9:G9"/>
    <mergeCell ref="A10:A11"/>
    <mergeCell ref="B10:B11"/>
    <mergeCell ref="D10:F10"/>
    <mergeCell ref="G10:G11"/>
    <mergeCell ref="C10:C11"/>
    <mergeCell ref="A60:G60"/>
    <mergeCell ref="A61:A62"/>
    <mergeCell ref="B61:B62"/>
    <mergeCell ref="C61:C62"/>
    <mergeCell ref="D61:F61"/>
    <mergeCell ref="G61:G62"/>
    <mergeCell ref="A69:G69"/>
    <mergeCell ref="A70:A71"/>
    <mergeCell ref="B70:B71"/>
    <mergeCell ref="C70:C71"/>
    <mergeCell ref="D70:F70"/>
    <mergeCell ref="G70:G71"/>
    <mergeCell ref="A76:G76"/>
    <mergeCell ref="A77:A78"/>
    <mergeCell ref="B77:B78"/>
    <mergeCell ref="C77:C78"/>
    <mergeCell ref="D77:F77"/>
    <mergeCell ref="G77:G78"/>
    <mergeCell ref="A87:G87"/>
    <mergeCell ref="A88:A89"/>
    <mergeCell ref="B88:B89"/>
    <mergeCell ref="C88:C89"/>
    <mergeCell ref="D88:F88"/>
    <mergeCell ref="G88:G89"/>
  </mergeCells>
  <conditionalFormatting sqref="B10">
    <cfRule type="duplicateValues" dxfId="25" priority="63"/>
    <cfRule type="duplicateValues" dxfId="24" priority="64"/>
    <cfRule type="duplicateValues" dxfId="23" priority="65"/>
  </conditionalFormatting>
  <conditionalFormatting sqref="B12:B34">
    <cfRule type="duplicateValues" dxfId="22" priority="47"/>
  </conditionalFormatting>
  <conditionalFormatting sqref="B38">
    <cfRule type="duplicateValues" dxfId="21" priority="44"/>
    <cfRule type="duplicateValues" dxfId="20" priority="45"/>
    <cfRule type="duplicateValues" dxfId="19" priority="46"/>
  </conditionalFormatting>
  <conditionalFormatting sqref="B40:B55">
    <cfRule type="duplicateValues" dxfId="18" priority="132"/>
  </conditionalFormatting>
  <conditionalFormatting sqref="B61">
    <cfRule type="duplicateValues" dxfId="17" priority="40"/>
    <cfRule type="duplicateValues" dxfId="16" priority="41"/>
    <cfRule type="duplicateValues" dxfId="15" priority="42"/>
  </conditionalFormatting>
  <conditionalFormatting sqref="B64">
    <cfRule type="duplicateValues" dxfId="14" priority="38"/>
  </conditionalFormatting>
  <conditionalFormatting sqref="B70">
    <cfRule type="duplicateValues" dxfId="13" priority="35"/>
    <cfRule type="duplicateValues" dxfId="12" priority="36"/>
    <cfRule type="duplicateValues" dxfId="11" priority="37"/>
  </conditionalFormatting>
  <conditionalFormatting sqref="B72">
    <cfRule type="duplicateValues" dxfId="10" priority="34"/>
  </conditionalFormatting>
  <conditionalFormatting sqref="B73">
    <cfRule type="duplicateValues" dxfId="9" priority="33"/>
  </conditionalFormatting>
  <conditionalFormatting sqref="B77">
    <cfRule type="duplicateValues" dxfId="8" priority="30"/>
    <cfRule type="duplicateValues" dxfId="7" priority="31"/>
    <cfRule type="duplicateValues" dxfId="6" priority="32"/>
  </conditionalFormatting>
  <conditionalFormatting sqref="B79">
    <cfRule type="duplicateValues" dxfId="5" priority="28"/>
  </conditionalFormatting>
  <conditionalFormatting sqref="B80:B84">
    <cfRule type="duplicateValues" dxfId="4" priority="21"/>
  </conditionalFormatting>
  <conditionalFormatting sqref="B88">
    <cfRule type="duplicateValues" dxfId="3" priority="23"/>
    <cfRule type="duplicateValues" dxfId="2" priority="24"/>
    <cfRule type="duplicateValues" dxfId="1" priority="25"/>
  </conditionalFormatting>
  <conditionalFormatting sqref="B90">
    <cfRule type="duplicateValues" dxfId="0" priority="22"/>
  </conditionalFormatting>
  <printOptions horizontalCentered="1"/>
  <pageMargins left="0" right="0.31496062992125984" top="1.06" bottom="0.74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2ECB-F00D-47FD-B580-A0C8171A118E}">
  <dimension ref="B2:F13"/>
  <sheetViews>
    <sheetView workbookViewId="0">
      <selection activeCell="D12" sqref="D12"/>
    </sheetView>
  </sheetViews>
  <sheetFormatPr baseColWidth="10" defaultRowHeight="15" x14ac:dyDescent="0.25"/>
  <cols>
    <col min="2" max="2" width="5.42578125" style="9" customWidth="1"/>
    <col min="3" max="3" width="43.28515625" style="1" customWidth="1"/>
  </cols>
  <sheetData>
    <row r="2" spans="2:6" x14ac:dyDescent="0.25">
      <c r="B2" s="9">
        <v>1</v>
      </c>
      <c r="C2" s="1" t="s">
        <v>238</v>
      </c>
    </row>
    <row r="3" spans="2:6" x14ac:dyDescent="0.25">
      <c r="B3" s="9">
        <v>2</v>
      </c>
      <c r="C3" s="1" t="s">
        <v>239</v>
      </c>
    </row>
    <row r="4" spans="2:6" x14ac:dyDescent="0.25">
      <c r="B4" s="9">
        <v>3</v>
      </c>
      <c r="C4" s="1" t="s">
        <v>240</v>
      </c>
      <c r="D4" t="s">
        <v>243</v>
      </c>
    </row>
    <row r="5" spans="2:6" x14ac:dyDescent="0.25">
      <c r="B5" s="9">
        <v>4</v>
      </c>
      <c r="C5" s="1" t="s">
        <v>242</v>
      </c>
      <c r="D5" t="s">
        <v>243</v>
      </c>
    </row>
    <row r="6" spans="2:6" x14ac:dyDescent="0.25">
      <c r="B6" s="9">
        <v>5</v>
      </c>
      <c r="C6" s="1" t="s">
        <v>244</v>
      </c>
      <c r="D6" t="s">
        <v>245</v>
      </c>
    </row>
    <row r="7" spans="2:6" x14ac:dyDescent="0.25">
      <c r="B7" s="9">
        <v>6</v>
      </c>
      <c r="C7" s="1" t="s">
        <v>241</v>
      </c>
    </row>
    <row r="8" spans="2:6" x14ac:dyDescent="0.25">
      <c r="B8" s="9">
        <v>7</v>
      </c>
    </row>
    <row r="11" spans="2:6" x14ac:dyDescent="0.25">
      <c r="C11" s="1" t="s">
        <v>246</v>
      </c>
      <c r="D11" t="s">
        <v>247</v>
      </c>
      <c r="E11">
        <v>2100</v>
      </c>
      <c r="F11" s="87">
        <v>0.1</v>
      </c>
    </row>
    <row r="12" spans="2:6" x14ac:dyDescent="0.25">
      <c r="C12" s="1">
        <v>10</v>
      </c>
      <c r="D12" t="s">
        <v>248</v>
      </c>
      <c r="F12">
        <f>E11*F11</f>
        <v>210</v>
      </c>
    </row>
    <row r="13" spans="2:6" x14ac:dyDescent="0.25">
      <c r="F13">
        <f>SUM(E11+F12)</f>
        <v>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APTOS</vt:lpstr>
      <vt:lpstr>NO APTOS</vt:lpstr>
      <vt:lpstr>Hoja1</vt:lpstr>
      <vt:lpstr>'NO APTOS'!Área_de_impresión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Lecaros Marquez Katherine</dc:creator>
  <cp:lastModifiedBy>Lopez Sanca Carolina Soledad</cp:lastModifiedBy>
  <cp:lastPrinted>2025-10-15T22:39:40Z</cp:lastPrinted>
  <dcterms:created xsi:type="dcterms:W3CDTF">2024-01-25T22:14:35Z</dcterms:created>
  <dcterms:modified xsi:type="dcterms:W3CDTF">2025-10-22T17:40:52Z</dcterms:modified>
</cp:coreProperties>
</file>